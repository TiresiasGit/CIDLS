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20472" yWindow="204" windowWidth="19572" windowHeight="16416" tabRatio="600" firstSheet="1" activeTab="1" autoFilterDateGrouping="1"/>
  </bookViews>
  <sheets>
    <sheet xmlns:r="http://schemas.openxmlformats.org/officeDocument/2006/relationships" name="表紙・目次" sheetId="1" state="visible" r:id="rId1"/>
    <sheet xmlns:r="http://schemas.openxmlformats.org/officeDocument/2006/relationships" name="要求要件定義" sheetId="2" state="visible" r:id="rId2"/>
  </sheets>
  <definedNames/>
  <calcPr calcId="191028" fullCalcOnLoad="1"/>
</workbook>
</file>

<file path=xl/styles.xml><?xml version="1.0" encoding="utf-8"?>
<styleSheet xmlns="http://schemas.openxmlformats.org/spreadsheetml/2006/main">
  <numFmts count="0"/>
  <fonts count="37">
    <font>
      <name val="游ゴシック"/>
      <charset val="128"/>
      <family val="2"/>
      <color theme="1"/>
      <sz val="11"/>
      <scheme val="minor"/>
    </font>
    <font>
      <name val="游ゴシック"/>
      <charset val="128"/>
      <family val="2"/>
      <sz val="6"/>
      <scheme val="minor"/>
    </font>
    <font>
      <name val="游ゴシック"/>
      <charset val="128"/>
      <family val="3"/>
      <b val="1"/>
      <color theme="1"/>
      <sz val="16"/>
      <scheme val="minor"/>
    </font>
    <font>
      <name val="游ゴシック"/>
      <family val="2"/>
      <color theme="1"/>
      <sz val="11"/>
      <scheme val="minor"/>
    </font>
    <font>
      <name val="游ゴシック"/>
      <charset val="128"/>
      <family val="3"/>
      <sz val="6"/>
      <scheme val="minor"/>
    </font>
    <font>
      <name val="游ゴシック"/>
      <charset val="128"/>
      <family val="2"/>
      <color theme="10"/>
      <sz val="11"/>
      <u val="single"/>
      <scheme val="minor"/>
    </font>
    <font>
      <name val="游ゴシック"/>
      <charset val="128"/>
      <family val="3"/>
      <color theme="1"/>
      <sz val="16"/>
      <scheme val="minor"/>
    </font>
    <font>
      <name val="游ゴシック"/>
      <charset val="128"/>
      <family val="3"/>
      <color theme="1"/>
      <sz val="28"/>
      <scheme val="minor"/>
    </font>
    <font>
      <name val="游ゴシック"/>
      <charset val="128"/>
      <family val="3"/>
      <color theme="1"/>
      <sz val="26"/>
      <scheme val="minor"/>
    </font>
    <font>
      <name val="游ゴシック"/>
      <charset val="128"/>
      <family val="3"/>
      <color theme="1"/>
      <sz val="18"/>
      <scheme val="minor"/>
    </font>
    <font>
      <name val="游ゴシック"/>
      <charset val="128"/>
      <family val="3"/>
      <color theme="1"/>
      <sz val="20"/>
      <scheme val="minor"/>
    </font>
    <font>
      <name val="游ゴシック"/>
      <family val="2"/>
      <color theme="10"/>
      <sz val="11"/>
      <u val="single"/>
      <scheme val="minor"/>
    </font>
    <font>
      <name val="游ゴシック"/>
      <charset val="128"/>
      <family val="3"/>
      <color theme="10"/>
      <sz val="20"/>
      <u val="single"/>
      <scheme val="minor"/>
    </font>
    <font>
      <name val="游ゴシック"/>
      <charset val="128"/>
      <family val="2"/>
      <color theme="1"/>
      <sz val="11"/>
      <scheme val="minor"/>
    </font>
    <font>
      <name val="MS P ゴシック"/>
      <charset val="128"/>
      <family val="3"/>
      <color indexed="81"/>
      <sz val="11"/>
    </font>
    <font>
      <name val="MS P ゴシック"/>
      <charset val="128"/>
      <family val="3"/>
      <b val="1"/>
      <color indexed="81"/>
      <sz val="11"/>
    </font>
    <font>
      <name val="游ゴシック"/>
      <charset val="128"/>
      <family val="3"/>
      <color theme="1"/>
      <sz val="12"/>
      <scheme val="minor"/>
    </font>
    <font>
      <name val="游ゴシック"/>
      <charset val="128"/>
      <family val="3"/>
      <color theme="10"/>
      <sz val="12"/>
      <u val="single"/>
      <scheme val="minor"/>
    </font>
    <font>
      <name val="游ゴシック"/>
      <charset val="128"/>
      <family val="3"/>
      <color theme="10"/>
      <sz val="11"/>
      <u val="single"/>
      <scheme val="minor"/>
    </font>
    <font>
      <name val="游ゴシック"/>
      <charset val="128"/>
      <family val="3"/>
      <color theme="10"/>
      <sz val="18"/>
      <u val="single"/>
      <scheme val="minor"/>
    </font>
    <font>
      <name val="游ゴシック"/>
      <charset val="128"/>
      <family val="3"/>
      <b val="1"/>
      <color theme="1"/>
      <sz val="18"/>
      <scheme val="minor"/>
    </font>
    <font>
      <name val="游ゴシック"/>
      <charset val="128"/>
      <family val="3"/>
      <b val="1"/>
      <color rgb="FF000000"/>
      <sz val="12"/>
      <scheme val="minor"/>
    </font>
    <font>
      <name val="游ゴシック"/>
      <charset val="128"/>
      <family val="3"/>
      <b val="1"/>
      <color theme="1"/>
      <sz val="12"/>
      <scheme val="minor"/>
    </font>
    <font>
      <name val="游ゴシック"/>
      <charset val="128"/>
      <family val="3"/>
      <b val="1"/>
      <color theme="0"/>
      <sz val="11"/>
      <scheme val="minor"/>
    </font>
    <font>
      <name val="游ゴシック"/>
      <charset val="128"/>
      <family val="3"/>
      <b val="1"/>
      <color theme="0"/>
      <sz val="12"/>
      <scheme val="minor"/>
    </font>
    <font>
      <name val="游ゴシック"/>
      <charset val="128"/>
      <family val="2"/>
      <color theme="10"/>
      <sz val="11"/>
      <scheme val="minor"/>
    </font>
    <font>
      <name val="游ゴシック"/>
      <charset val="128"/>
      <family val="3"/>
      <b val="1"/>
      <color theme="1"/>
      <sz val="14"/>
      <scheme val="minor"/>
    </font>
    <font>
      <name val="游ゴシック"/>
      <charset val="128"/>
      <family val="3"/>
      <b val="1"/>
      <color theme="1"/>
      <sz val="20"/>
      <scheme val="minor"/>
    </font>
    <font>
      <name val="游ゴシック"/>
      <charset val="128"/>
      <family val="3"/>
      <color theme="1"/>
      <sz val="14"/>
      <scheme val="minor"/>
    </font>
    <font>
      <name val="游ゴシック"/>
      <charset val="128"/>
      <family val="3"/>
      <b val="1"/>
      <color rgb="FF000000"/>
      <sz val="18"/>
      <scheme val="minor"/>
    </font>
    <font>
      <name val="游ゴシック"/>
      <charset val="128"/>
      <family val="3"/>
      <b val="1"/>
      <color rgb="FFFF0000"/>
      <sz val="14"/>
      <scheme val="minor"/>
    </font>
    <font>
      <name val="游ゴシック"/>
      <charset val="128"/>
      <family val="3"/>
      <color rgb="FFFF0000"/>
      <sz val="14"/>
      <scheme val="minor"/>
    </font>
    <font>
      <name val="游ゴシック"/>
      <charset val="128"/>
      <family val="2"/>
      <color theme="10"/>
      <sz val="16"/>
      <u val="single"/>
      <scheme val="minor"/>
    </font>
    <font>
      <name val="游ゴシック"/>
      <charset val="128"/>
      <family val="3"/>
      <color theme="1"/>
      <sz val="11"/>
      <scheme val="minor"/>
    </font>
    <font>
      <name val="游ゴシック"/>
      <charset val="128"/>
      <family val="3"/>
      <b val="1"/>
      <color rgb="FF000000"/>
      <sz val="16"/>
      <scheme val="minor"/>
    </font>
    <font>
      <name val="游ゴシック"/>
      <charset val="128"/>
      <family val="3"/>
      <b val="1"/>
      <color theme="1"/>
      <sz val="11"/>
      <scheme val="minor"/>
    </font>
    <font>
      <name val="游ゴシック"/>
      <family val="2"/>
      <color theme="10"/>
      <sz val="18"/>
      <u val="single"/>
      <scheme val="minor"/>
    </font>
  </fonts>
  <fills count="4">
    <fill>
      <patternFill/>
    </fill>
    <fill>
      <patternFill patternType="gray125"/>
    </fill>
    <fill>
      <patternFill patternType="solid">
        <fgColor theme="4"/>
        <bgColor theme="4"/>
      </patternFill>
    </fill>
    <fill>
      <patternFill patternType="solid">
        <fgColor theme="4" tint="0.7999816888943144"/>
        <bgColor theme="4" tint="0.7999816888943144"/>
      </patternFill>
    </fill>
  </fills>
  <borders count="21">
    <border>
      <left/>
      <right/>
      <top/>
      <bottom/>
      <diagonal/>
    </border>
    <border>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s>
  <cellStyleXfs count="10">
    <xf numFmtId="0" fontId="13" fillId="0" borderId="0" applyAlignment="1">
      <alignment vertical="center"/>
    </xf>
    <xf numFmtId="0" fontId="3" fillId="0" borderId="0"/>
    <xf numFmtId="0" fontId="5" fillId="0" borderId="0" applyAlignment="1">
      <alignment vertical="center"/>
    </xf>
    <xf numFmtId="0" fontId="11" fillId="0" borderId="0"/>
    <xf numFmtId="0" fontId="5" fillId="0" borderId="0" applyAlignment="1">
      <alignment vertical="center"/>
    </xf>
    <xf numFmtId="0" fontId="13" fillId="0" borderId="0" applyAlignment="1">
      <alignment vertical="center"/>
    </xf>
    <xf numFmtId="0" fontId="13" fillId="0" borderId="0" applyAlignment="1">
      <alignment vertical="center"/>
    </xf>
    <xf numFmtId="0" fontId="13" fillId="0" borderId="0" applyAlignment="1">
      <alignment vertical="center"/>
    </xf>
    <xf numFmtId="0" fontId="13" fillId="0" borderId="0" applyAlignment="1">
      <alignment vertical="center"/>
    </xf>
    <xf numFmtId="0" fontId="13" fillId="0" borderId="0" applyAlignment="1">
      <alignment vertical="center"/>
    </xf>
  </cellStyleXfs>
  <cellXfs count="133">
    <xf numFmtId="0" fontId="0" fillId="0" borderId="0" applyAlignment="1" pivotButton="0" quotePrefix="0" xfId="0">
      <alignment vertical="center"/>
    </xf>
    <xf numFmtId="0" fontId="2" fillId="0" borderId="0" applyAlignment="1" pivotButton="0" quotePrefix="0" xfId="0">
      <alignment vertical="center"/>
    </xf>
    <xf numFmtId="0" fontId="2" fillId="0" borderId="0" pivotButton="0" quotePrefix="0" xfId="1"/>
    <xf numFmtId="0" fontId="7" fillId="0" borderId="0" applyAlignment="1" pivotButton="0" quotePrefix="0" xfId="1">
      <alignment horizontal="center"/>
    </xf>
    <xf numFmtId="0" fontId="8" fillId="0" borderId="0" applyAlignment="1" pivotButton="0" quotePrefix="0" xfId="1">
      <alignment horizontal="center"/>
    </xf>
    <xf numFmtId="0" fontId="9" fillId="0" borderId="0" pivotButton="0" quotePrefix="0" xfId="1"/>
    <xf numFmtId="0" fontId="10" fillId="0" borderId="0" applyAlignment="1" pivotButton="0" quotePrefix="0" xfId="1">
      <alignment horizontal="center" vertical="top"/>
    </xf>
    <xf numFmtId="0" fontId="12" fillId="0" borderId="0" pivotButton="0" quotePrefix="0" xfId="3"/>
    <xf numFmtId="0" fontId="10" fillId="0" borderId="0" pivotButton="0" quotePrefix="0" xfId="1"/>
    <xf numFmtId="0" fontId="12" fillId="0" borderId="0" applyAlignment="1" pivotButton="0" quotePrefix="0" xfId="3">
      <alignment horizontal="center"/>
    </xf>
    <xf numFmtId="0" fontId="10" fillId="0" borderId="0" applyAlignment="1" pivotButton="0" quotePrefix="0" xfId="1">
      <alignment horizontal="center"/>
    </xf>
    <xf numFmtId="0" fontId="6" fillId="0" borderId="0" pivotButton="0" quotePrefix="0" xfId="1"/>
    <xf numFmtId="0" fontId="16" fillId="0" borderId="0" pivotButton="0" quotePrefix="0" xfId="1"/>
    <xf numFmtId="0" fontId="16" fillId="0" borderId="0" applyAlignment="1" pivotButton="0" quotePrefix="0" xfId="1">
      <alignment horizontal="center"/>
    </xf>
    <xf numFmtId="0" fontId="16" fillId="0" borderId="0" applyAlignment="1" pivotButton="0" quotePrefix="0" xfId="1">
      <alignment horizontal="left" vertical="center" indent="3"/>
    </xf>
    <xf numFmtId="0" fontId="17" fillId="0" borderId="0" applyAlignment="1" pivotButton="0" quotePrefix="0" xfId="3">
      <alignment horizontal="left" vertical="center" indent="4"/>
    </xf>
    <xf numFmtId="0" fontId="12" fillId="0" borderId="0" applyAlignment="1" pivotButton="0" quotePrefix="0" xfId="4">
      <alignment horizontal="center"/>
    </xf>
    <xf numFmtId="0" fontId="18" fillId="0" borderId="0" pivotButton="0" quotePrefix="0" xfId="3"/>
    <xf numFmtId="0" fontId="19" fillId="0" borderId="0" applyAlignment="1" pivotButton="0" quotePrefix="0" xfId="3">
      <alignment horizontal="center" vertical="center"/>
    </xf>
    <xf numFmtId="0" fontId="16" fillId="0" borderId="0" applyAlignment="1" pivotButton="0" quotePrefix="0" xfId="0">
      <alignment wrapText="1"/>
    </xf>
    <xf numFmtId="0" fontId="16" fillId="0" borderId="0" pivotButton="0" quotePrefix="0" xfId="0"/>
    <xf numFmtId="0" fontId="20" fillId="0" borderId="0" applyAlignment="1" pivotButton="0" quotePrefix="0" xfId="0">
      <alignment vertical="center"/>
    </xf>
    <xf numFmtId="0" fontId="16" fillId="0" borderId="0" applyAlignment="1" pivotButton="0" quotePrefix="0" xfId="0">
      <alignment vertical="center"/>
    </xf>
    <xf numFmtId="0" fontId="21" fillId="0" borderId="0" applyAlignment="1" pivotButton="0" quotePrefix="0" xfId="0">
      <alignment horizontal="left" vertical="center"/>
    </xf>
    <xf numFmtId="0" fontId="22" fillId="0" borderId="0" applyAlignment="1" pivotButton="0" quotePrefix="0" xfId="0">
      <alignment vertical="center"/>
    </xf>
    <xf numFmtId="0" fontId="16" fillId="0" borderId="0" applyAlignment="1" pivotButton="0" quotePrefix="0" xfId="0">
      <alignment horizontal="center" vertical="center"/>
    </xf>
    <xf numFmtId="0" fontId="16" fillId="0" borderId="0" applyAlignment="1" pivotButton="0" quotePrefix="0" xfId="0">
      <alignment vertical="center" wrapText="1"/>
    </xf>
    <xf numFmtId="0" fontId="16" fillId="0" borderId="0" applyAlignment="1" pivotButton="0" quotePrefix="0" xfId="1">
      <alignment wrapText="1"/>
    </xf>
    <xf numFmtId="0" fontId="16" fillId="0" borderId="0" applyAlignment="1" pivotButton="0" quotePrefix="0" xfId="1">
      <alignment horizontal="center" wrapText="1"/>
    </xf>
    <xf numFmtId="0" fontId="16" fillId="0" borderId="0" applyAlignment="1" pivotButton="0" quotePrefix="0" xfId="0">
      <alignment horizontal="left" vertical="top" wrapText="1"/>
    </xf>
    <xf numFmtId="0" fontId="16" fillId="0" borderId="0" applyAlignment="1" pivotButton="0" quotePrefix="0" xfId="0">
      <alignment horizontal="left" vertical="top"/>
    </xf>
    <xf numFmtId="0" fontId="16" fillId="0" borderId="0" applyAlignment="1" pivotButton="0" quotePrefix="0" xfId="0">
      <alignment horizontal="left" vertical="center"/>
    </xf>
    <xf numFmtId="0" fontId="16" fillId="0" borderId="0" applyAlignment="1" pivotButton="0" quotePrefix="0" xfId="1">
      <alignment horizontal="left" vertical="top" wrapText="1"/>
    </xf>
    <xf numFmtId="14" fontId="16" fillId="0" borderId="0" applyAlignment="1" pivotButton="0" quotePrefix="0" xfId="1">
      <alignment horizontal="left" vertical="top" wrapText="1"/>
    </xf>
    <xf numFmtId="0" fontId="16" fillId="0" borderId="0" applyAlignment="1" pivotButton="0" quotePrefix="0" xfId="3">
      <alignment horizontal="left" vertical="top" wrapText="1"/>
    </xf>
    <xf numFmtId="0" fontId="22" fillId="0" borderId="0" applyAlignment="1" pivotButton="0" quotePrefix="0" xfId="0">
      <alignment horizontal="right" vertical="center"/>
    </xf>
    <xf numFmtId="0" fontId="16" fillId="0" borderId="0" applyAlignment="1" pivotButton="0" quotePrefix="0" xfId="1">
      <alignment horizontal="center" vertical="top" wrapText="1"/>
    </xf>
    <xf numFmtId="0" fontId="16" fillId="0" borderId="0" applyAlignment="1" pivotButton="0" quotePrefix="0" xfId="3">
      <alignment horizontal="center" vertical="top" wrapText="1"/>
    </xf>
    <xf numFmtId="0" fontId="16" fillId="0" borderId="0" applyAlignment="1" pivotButton="0" quotePrefix="0" xfId="0">
      <alignment vertical="top" wrapText="1"/>
    </xf>
    <xf numFmtId="0" fontId="23" fillId="2" borderId="1" applyAlignment="1" pivotButton="0" quotePrefix="0" xfId="0">
      <alignment wrapText="1"/>
    </xf>
    <xf numFmtId="14" fontId="5" fillId="3" borderId="1" applyAlignment="1" pivotButton="0" quotePrefix="0" xfId="2">
      <alignment vertical="top"/>
    </xf>
    <xf numFmtId="0" fontId="16" fillId="0" borderId="2" applyAlignment="1" pivotButton="0" quotePrefix="0" xfId="1">
      <alignment horizontal="left" vertical="top" wrapText="1"/>
    </xf>
    <xf numFmtId="0" fontId="16" fillId="0" borderId="1" applyAlignment="1" pivotButton="0" quotePrefix="0" xfId="0">
      <alignment horizontal="left" vertical="top"/>
    </xf>
    <xf numFmtId="0" fontId="16" fillId="0" borderId="1" applyAlignment="1" pivotButton="0" quotePrefix="0" xfId="1">
      <alignment horizontal="left" vertical="top" wrapText="1"/>
    </xf>
    <xf numFmtId="0" fontId="16" fillId="0" borderId="1" applyAlignment="1" pivotButton="0" quotePrefix="0" xfId="1">
      <alignment horizontal="center" vertical="top" wrapText="1"/>
    </xf>
    <xf numFmtId="14" fontId="16" fillId="0" borderId="1" applyAlignment="1" pivotButton="0" quotePrefix="0" xfId="1">
      <alignment horizontal="left" vertical="top" wrapText="1"/>
    </xf>
    <xf numFmtId="14" fontId="16" fillId="0" borderId="3" applyAlignment="1" pivotButton="0" quotePrefix="0" xfId="1">
      <alignment horizontal="left" vertical="top" wrapText="1"/>
    </xf>
    <xf numFmtId="0" fontId="24" fillId="2" borderId="2" applyAlignment="1" pivotButton="0" quotePrefix="0" xfId="0">
      <alignment wrapText="1"/>
    </xf>
    <xf numFmtId="0" fontId="24" fillId="2" borderId="1" applyAlignment="1" pivotButton="0" quotePrefix="0" xfId="0">
      <alignment wrapText="1"/>
    </xf>
    <xf numFmtId="0" fontId="24" fillId="2" borderId="1" pivotButton="0" quotePrefix="0" xfId="0"/>
    <xf numFmtId="0" fontId="24" fillId="2" borderId="1" applyAlignment="1" pivotButton="0" quotePrefix="0" xfId="1">
      <alignment wrapText="1"/>
    </xf>
    <xf numFmtId="0" fontId="24" fillId="2" borderId="1" applyAlignment="1" pivotButton="0" quotePrefix="0" xfId="1">
      <alignment horizontal="center" wrapText="1"/>
    </xf>
    <xf numFmtId="0" fontId="24" fillId="2" borderId="3" applyAlignment="1" pivotButton="0" quotePrefix="0" xfId="1">
      <alignment wrapText="1"/>
    </xf>
    <xf numFmtId="0" fontId="22" fillId="0" borderId="0" applyAlignment="1" pivotButton="0" quotePrefix="0" xfId="0">
      <alignment horizontal="left" vertical="center"/>
    </xf>
    <xf numFmtId="0" fontId="5" fillId="0" borderId="0" applyAlignment="1" pivotButton="0" quotePrefix="0" xfId="2">
      <alignment vertical="center"/>
    </xf>
    <xf numFmtId="0" fontId="25" fillId="0" borderId="0" applyAlignment="1" pivotButton="0" quotePrefix="0" xfId="2">
      <alignment vertical="center"/>
    </xf>
    <xf numFmtId="0" fontId="26" fillId="0" borderId="0" applyAlignment="1" pivotButton="0" quotePrefix="0" xfId="0">
      <alignment vertical="center"/>
    </xf>
    <xf numFmtId="0" fontId="20" fillId="0" borderId="0" applyAlignment="1" pivotButton="0" quotePrefix="0" xfId="0">
      <alignment horizontal="right" vertical="center"/>
    </xf>
    <xf numFmtId="0" fontId="29" fillId="0" borderId="0" applyAlignment="1" pivotButton="0" quotePrefix="0" xfId="0">
      <alignment horizontal="left" vertical="center"/>
    </xf>
    <xf numFmtId="0" fontId="28" fillId="0" borderId="0" applyAlignment="1" pivotButton="0" quotePrefix="0" xfId="0">
      <alignment vertical="center"/>
    </xf>
    <xf numFmtId="0" fontId="28" fillId="0" borderId="0" applyAlignment="1" pivotButton="0" quotePrefix="0" xfId="0">
      <alignment vertical="center" wrapText="1"/>
    </xf>
    <xf numFmtId="0" fontId="26" fillId="0" borderId="0" applyAlignment="1" pivotButton="0" quotePrefix="0" xfId="0">
      <alignment horizontal="right" vertical="center"/>
    </xf>
    <xf numFmtId="0" fontId="28" fillId="0" borderId="0" applyAlignment="1" pivotButton="0" quotePrefix="0" xfId="0">
      <alignment horizontal="left" vertical="center"/>
    </xf>
    <xf numFmtId="0" fontId="28" fillId="0" borderId="0" applyAlignment="1" pivotButton="0" quotePrefix="0" xfId="0">
      <alignment horizontal="right" vertical="center"/>
    </xf>
    <xf numFmtId="0" fontId="2" fillId="0" borderId="0" applyAlignment="1" pivotButton="0" quotePrefix="0" xfId="0">
      <alignment horizontal="left" vertical="top"/>
    </xf>
    <xf numFmtId="0" fontId="27" fillId="0" borderId="0" applyAlignment="1" pivotButton="0" quotePrefix="0" xfId="0">
      <alignment vertical="center" textRotation="255"/>
    </xf>
    <xf numFmtId="0" fontId="28" fillId="0" borderId="0" applyAlignment="1" pivotButton="0" quotePrefix="0" xfId="0">
      <alignment horizontal="center" vertical="center"/>
    </xf>
    <xf numFmtId="0" fontId="20" fillId="0" borderId="0" applyAlignment="1" pivotButton="0" quotePrefix="0" xfId="0">
      <alignment vertical="center" textRotation="255" wrapText="1"/>
    </xf>
    <xf numFmtId="0" fontId="27" fillId="0" borderId="0" applyAlignment="1" pivotButton="0" quotePrefix="0" xfId="0">
      <alignment vertical="center"/>
    </xf>
    <xf numFmtId="0" fontId="32" fillId="0" borderId="0" applyAlignment="1" pivotButton="0" quotePrefix="0" xfId="2">
      <alignment vertical="center"/>
    </xf>
    <xf numFmtId="0" fontId="33" fillId="0" borderId="0" pivotButton="0" quotePrefix="0" xfId="0"/>
    <xf numFmtId="0" fontId="9" fillId="0" borderId="0" applyAlignment="1" pivotButton="0" quotePrefix="0" xfId="0">
      <alignment vertical="top"/>
    </xf>
    <xf numFmtId="0" fontId="33" fillId="0" borderId="0" applyAlignment="1" pivotButton="0" quotePrefix="0" xfId="0">
      <alignment vertical="top"/>
    </xf>
    <xf numFmtId="0" fontId="10" fillId="0" borderId="0" applyAlignment="1" pivotButton="0" quotePrefix="0" xfId="0">
      <alignment horizontal="right" vertical="top"/>
    </xf>
    <xf numFmtId="0" fontId="10" fillId="0" borderId="0" applyAlignment="1" pivotButton="0" quotePrefix="0" xfId="0">
      <alignment horizontal="left" vertical="top"/>
    </xf>
    <xf numFmtId="0" fontId="10" fillId="0" borderId="0" applyAlignment="1" pivotButton="0" quotePrefix="0" xfId="0">
      <alignment horizontal="center" vertical="center" wrapText="1"/>
    </xf>
    <xf numFmtId="0" fontId="9" fillId="0" borderId="0" applyAlignment="1" pivotButton="0" quotePrefix="0" xfId="0">
      <alignment horizontal="left" wrapText="1"/>
    </xf>
    <xf numFmtId="0" fontId="9" fillId="0" borderId="0" applyAlignment="1" pivotButton="0" quotePrefix="0" xfId="0">
      <alignment horizontal="left" vertical="center"/>
    </xf>
    <xf numFmtId="0" fontId="30" fillId="0" borderId="0" applyAlignment="1" pivotButton="0" quotePrefix="0" xfId="0">
      <alignment vertical="center"/>
    </xf>
    <xf numFmtId="0" fontId="31" fillId="0" borderId="0" applyAlignment="1" pivotButton="0" quotePrefix="0" xfId="0">
      <alignment vertical="center"/>
    </xf>
    <xf numFmtId="0" fontId="30" fillId="0" borderId="0" applyAlignment="1" pivotButton="0" quotePrefix="0" xfId="0">
      <alignment horizontal="left" vertical="center"/>
    </xf>
    <xf numFmtId="0" fontId="34" fillId="0" borderId="0" applyAlignment="1" pivotButton="0" quotePrefix="0" xfId="0">
      <alignment horizontal="left" vertical="center"/>
    </xf>
    <xf numFmtId="0" fontId="26" fillId="0" borderId="0" applyAlignment="1" pivotButton="0" quotePrefix="0" xfId="0">
      <alignment horizontal="left" vertical="top"/>
    </xf>
    <xf numFmtId="14" fontId="5" fillId="3" borderId="0" applyAlignment="1" pivotButton="0" quotePrefix="0" xfId="2">
      <alignment vertical="top"/>
    </xf>
    <xf numFmtId="0" fontId="26" fillId="0" borderId="4" applyAlignment="1" pivotButton="0" quotePrefix="0" xfId="0">
      <alignment horizontal="left" vertical="top"/>
    </xf>
    <xf numFmtId="0" fontId="26" fillId="0" borderId="5" applyAlignment="1" pivotButton="0" quotePrefix="0" xfId="0">
      <alignment horizontal="left" vertical="top" wrapText="1"/>
    </xf>
    <xf numFmtId="0" fontId="26" fillId="0" borderId="6" applyAlignment="1" pivotButton="0" quotePrefix="0" xfId="0">
      <alignment horizontal="left" vertical="top"/>
    </xf>
    <xf numFmtId="0" fontId="2" fillId="0" borderId="0" pivotButton="0" quotePrefix="0" xfId="0"/>
    <xf numFmtId="0" fontId="33" fillId="0" borderId="0" applyAlignment="1" pivotButton="0" quotePrefix="0" xfId="0">
      <alignment wrapText="1"/>
    </xf>
    <xf numFmtId="0" fontId="35" fillId="0" borderId="0" pivotButton="0" quotePrefix="0" xfId="0"/>
    <xf numFmtId="0" fontId="22" fillId="0" borderId="0" applyAlignment="1" pivotButton="0" quotePrefix="0" xfId="0">
      <alignment horizontal="left" vertical="top" wrapText="1"/>
    </xf>
    <xf numFmtId="0" fontId="22" fillId="0" borderId="0" applyAlignment="1" pivotButton="0" quotePrefix="0" xfId="0">
      <alignment vertical="top" wrapText="1"/>
    </xf>
    <xf numFmtId="0" fontId="11" fillId="0" borderId="0" applyAlignment="1" pivotButton="0" quotePrefix="0" xfId="3">
      <alignment vertical="center"/>
    </xf>
    <xf numFmtId="0" fontId="26" fillId="0" borderId="0" applyAlignment="1" pivotButton="0" quotePrefix="0" xfId="0">
      <alignment horizontal="left" vertical="top" wrapText="1"/>
    </xf>
    <xf numFmtId="0" fontId="28" fillId="0" borderId="0" applyAlignment="1" pivotButton="0" quotePrefix="0" xfId="0">
      <alignment horizontal="left" vertical="top"/>
    </xf>
    <xf numFmtId="0" fontId="26" fillId="0" borderId="7" applyAlignment="1" pivotButton="0" quotePrefix="0" xfId="0">
      <alignment horizontal="left" vertical="top"/>
    </xf>
    <xf numFmtId="0" fontId="28" fillId="0" borderId="0" applyAlignment="1" pivotButton="0" quotePrefix="0" xfId="0">
      <alignment horizontal="left"/>
    </xf>
    <xf numFmtId="0" fontId="33" fillId="0" borderId="0" applyAlignment="1" pivotButton="0" quotePrefix="0" xfId="0">
      <alignment vertical="top" wrapText="1"/>
    </xf>
    <xf numFmtId="0" fontId="36" fillId="0" borderId="0" applyAlignment="1" pivotButton="0" quotePrefix="0" xfId="3">
      <alignment horizontal="left" vertical="top"/>
    </xf>
    <xf numFmtId="0" fontId="22" fillId="0" borderId="5" applyAlignment="1" pivotButton="0" quotePrefix="0" xfId="0">
      <alignment vertical="top" wrapText="1"/>
    </xf>
    <xf numFmtId="0" fontId="26" fillId="0" borderId="5" applyAlignment="1" pivotButton="0" quotePrefix="0" xfId="0">
      <alignment vertical="top"/>
    </xf>
    <xf numFmtId="0" fontId="11" fillId="0" borderId="5" applyAlignment="1" pivotButton="0" quotePrefix="0" xfId="3">
      <alignment vertical="center"/>
    </xf>
    <xf numFmtId="0" fontId="22" fillId="0" borderId="4" applyAlignment="1" pivotButton="0" quotePrefix="0" xfId="0">
      <alignment vertical="top" wrapText="1"/>
    </xf>
    <xf numFmtId="0" fontId="22" fillId="0" borderId="6" applyAlignment="1" pivotButton="0" quotePrefix="0" xfId="0">
      <alignment vertical="top" wrapText="1"/>
    </xf>
    <xf numFmtId="0" fontId="22" fillId="0" borderId="7" applyAlignment="1" pivotButton="0" quotePrefix="0" xfId="0">
      <alignment vertical="top" wrapText="1"/>
    </xf>
    <xf numFmtId="0" fontId="26" fillId="0" borderId="6" applyAlignment="1" pivotButton="0" quotePrefix="0" xfId="0">
      <alignment horizontal="left" vertical="top"/>
    </xf>
    <xf numFmtId="0" fontId="26" fillId="0" borderId="8" applyAlignment="1" pivotButton="0" quotePrefix="0" xfId="0">
      <alignment horizontal="left" vertical="top"/>
    </xf>
    <xf numFmtId="0" fontId="26" fillId="0" borderId="9" applyAlignment="1" pivotButton="0" quotePrefix="0" xfId="0">
      <alignment horizontal="left" vertical="top"/>
    </xf>
    <xf numFmtId="0" fontId="26" fillId="0" borderId="10" applyAlignment="1" pivotButton="0" quotePrefix="0" xfId="0">
      <alignment horizontal="left" vertical="top" wrapText="1"/>
    </xf>
    <xf numFmtId="0" fontId="26" fillId="0" borderId="11" applyAlignment="1" pivotButton="0" quotePrefix="0" xfId="0">
      <alignment horizontal="left" vertical="top" wrapText="1"/>
    </xf>
    <xf numFmtId="0" fontId="26" fillId="0" borderId="12" applyAlignment="1" pivotButton="0" quotePrefix="0" xfId="0">
      <alignment horizontal="left" vertical="top" wrapText="1"/>
    </xf>
    <xf numFmtId="0" fontId="31" fillId="0" borderId="0" applyAlignment="1" pivotButton="0" quotePrefix="0" xfId="0">
      <alignment horizontal="left" vertical="center" wrapText="1"/>
    </xf>
    <xf numFmtId="0" fontId="22" fillId="0" borderId="7" applyAlignment="1" pivotButton="0" quotePrefix="0" xfId="0">
      <alignment horizontal="left" vertical="top" wrapText="1"/>
    </xf>
    <xf numFmtId="0" fontId="22" fillId="0" borderId="13" applyAlignment="1" pivotButton="0" quotePrefix="0" xfId="0">
      <alignment horizontal="left" vertical="top" wrapText="1"/>
    </xf>
    <xf numFmtId="0" fontId="22" fillId="0" borderId="14" applyAlignment="1" pivotButton="0" quotePrefix="0" xfId="0">
      <alignment horizontal="left" vertical="top" wrapText="1"/>
    </xf>
    <xf numFmtId="0" fontId="26" fillId="0" borderId="5" applyAlignment="1" pivotButton="0" quotePrefix="0" xfId="0">
      <alignment horizontal="left" vertical="top" wrapText="1"/>
    </xf>
    <xf numFmtId="0" fontId="26" fillId="0" borderId="5" applyAlignment="1" pivotButton="0" quotePrefix="0" xfId="0">
      <alignment horizontal="left" vertical="top"/>
    </xf>
    <xf numFmtId="0" fontId="22" fillId="0" borderId="4" applyAlignment="1" pivotButton="0" quotePrefix="0" xfId="0">
      <alignment horizontal="left" vertical="top"/>
    </xf>
    <xf numFmtId="0" fontId="22" fillId="0" borderId="5" applyAlignment="1" pivotButton="0" quotePrefix="0" xfId="0">
      <alignment horizontal="left" vertical="top" wrapText="1"/>
    </xf>
    <xf numFmtId="0" fontId="26" fillId="0" borderId="7" applyAlignment="1" pivotButton="0" quotePrefix="0" xfId="0">
      <alignment horizontal="left" vertical="top"/>
    </xf>
    <xf numFmtId="0" fontId="26" fillId="0" borderId="14" applyAlignment="1" pivotButton="0" quotePrefix="0" xfId="0">
      <alignment horizontal="left" vertical="top"/>
    </xf>
    <xf numFmtId="0" fontId="22" fillId="0" borderId="7" applyAlignment="1" pivotButton="0" quotePrefix="0" xfId="0">
      <alignment vertical="center" wrapText="1"/>
    </xf>
    <xf numFmtId="0" fontId="22" fillId="0" borderId="13" applyAlignment="1" pivotButton="0" quotePrefix="0" xfId="0">
      <alignment vertical="center"/>
    </xf>
    <xf numFmtId="0" fontId="22" fillId="0" borderId="14" applyAlignment="1" pivotButton="0" quotePrefix="0" xfId="0">
      <alignment vertical="center"/>
    </xf>
    <xf numFmtId="0" fontId="0" fillId="0" borderId="0" pivotButton="0" quotePrefix="0" xfId="0"/>
    <xf numFmtId="0" fontId="0" fillId="0" borderId="8" pivotButton="0" quotePrefix="0" xfId="0"/>
    <xf numFmtId="0" fontId="0" fillId="0" borderId="9" pivotButton="0" quotePrefix="0" xfId="0"/>
    <xf numFmtId="0" fontId="0" fillId="0" borderId="13" pivotButton="0" quotePrefix="0" xfId="0"/>
    <xf numFmtId="0" fontId="0" fillId="0" borderId="14" pivotButton="0" quotePrefix="0" xfId="0"/>
    <xf numFmtId="0" fontId="26" fillId="0" borderId="18" applyAlignment="1" pivotButton="0" quotePrefix="0" xfId="0">
      <alignment horizontal="left" vertical="top" wrapText="1"/>
    </xf>
    <xf numFmtId="0" fontId="0" fillId="0" borderId="11" pivotButton="0" quotePrefix="0" xfId="0"/>
    <xf numFmtId="0" fontId="0" fillId="0" borderId="12" pivotButton="0" quotePrefix="0" xfId="0"/>
    <xf numFmtId="0" fontId="22" fillId="0" borderId="5" applyAlignment="1" pivotButton="0" quotePrefix="0" xfId="0">
      <alignment vertical="center" wrapText="1"/>
    </xf>
  </cellXfs>
  <cellStyles count="10">
    <cellStyle name="標準" xfId="0" builtinId="0"/>
    <cellStyle name="標準 2" xfId="1"/>
    <cellStyle name="ハイパーリンク" xfId="2" builtinId="8"/>
    <cellStyle name="ハイパーリンク 2" xfId="3"/>
    <cellStyle name="ハイパーリンク 3" xfId="4"/>
    <cellStyle name="標準 3" xfId="5"/>
    <cellStyle name="標準 4" xfId="6"/>
    <cellStyle name="標準 3 2" xfId="7"/>
    <cellStyle name="標準 5" xfId="8"/>
    <cellStyle name="標準 3 3" xfId="9"/>
  </cellStyles>
  <dxfs count="15">
    <dxf>
      <font>
        <name val="游ゴシック"/>
        <charset val="128"/>
        <family val="3"/>
        <strike val="0"/>
        <outline val="0"/>
        <shadow val="0"/>
        <sz val="12"/>
        <vertAlign val="baseline"/>
        <scheme val="minor"/>
      </font>
      <numFmt numFmtId="19" formatCode="yyyy/m/d"/>
      <fill>
        <patternFill>
          <fgColor indexed="64"/>
          <bgColor indexed="65"/>
        </patternFill>
      </fill>
      <alignment horizontal="left" vertical="top" wrapText="1"/>
    </dxf>
    <dxf>
      <font>
        <name val="游ゴシック"/>
        <charset val="128"/>
        <family val="3"/>
        <strike val="0"/>
        <outline val="0"/>
        <shadow val="0"/>
        <sz val="12"/>
        <vertAlign val="baseline"/>
        <scheme val="minor"/>
      </font>
      <numFmt numFmtId="19" formatCode="yyyy/m/d"/>
      <alignment horizontal="left" vertical="top" wrapText="1"/>
    </dxf>
    <dxf>
      <font>
        <name val="游ゴシック"/>
        <charset val="128"/>
        <family val="3"/>
        <strike val="0"/>
        <outline val="0"/>
        <shadow val="0"/>
        <sz val="12"/>
        <vertAlign val="baseline"/>
        <scheme val="minor"/>
      </font>
      <fill>
        <patternFill>
          <fgColor indexed="64"/>
          <bgColor indexed="65"/>
        </patternFill>
      </fill>
      <alignment horizontal="left" vertical="top" wrapText="1"/>
    </dxf>
    <dxf>
      <font>
        <name val="游ゴシック"/>
        <charset val="128"/>
        <family val="3"/>
        <strike val="0"/>
        <outline val="0"/>
        <shadow val="0"/>
        <condense val="0"/>
        <color theme="1"/>
        <extend val="0"/>
        <sz val="12"/>
        <vertAlign val="baseline"/>
        <scheme val="minor"/>
      </font>
      <fill>
        <patternFill>
          <fgColor indexed="64"/>
          <bgColor indexed="65"/>
        </patternFill>
      </fill>
      <alignment horizontal="center" vertical="top" wrapText="1"/>
    </dxf>
    <dxf>
      <font>
        <name val="游ゴシック"/>
        <charset val="128"/>
        <family val="3"/>
        <strike val="0"/>
        <outline val="0"/>
        <shadow val="0"/>
        <condense val="0"/>
        <color theme="1"/>
        <extend val="0"/>
        <sz val="12"/>
        <vertAlign val="baseline"/>
        <scheme val="minor"/>
      </font>
      <fill>
        <patternFill>
          <fgColor indexed="64"/>
          <bgColor indexed="65"/>
        </patternFill>
      </fill>
      <alignment horizontal="center" vertical="top" wrapText="1"/>
    </dxf>
    <dxf>
      <font>
        <name val="游ゴシック"/>
        <charset val="128"/>
        <family val="3"/>
        <strike val="0"/>
        <outline val="0"/>
        <shadow val="0"/>
        <color theme="1"/>
        <sz val="12"/>
        <vertAlign val="baseline"/>
        <scheme val="minor"/>
      </font>
      <alignment horizontal="left" vertical="top" wrapText="1"/>
    </dxf>
    <dxf>
      <font>
        <name val="游ゴシック"/>
        <charset val="128"/>
        <family val="3"/>
        <strike val="0"/>
        <outline val="0"/>
        <shadow val="0"/>
        <sz val="12"/>
        <vertAlign val="baseline"/>
        <scheme val="minor"/>
      </font>
      <alignment horizontal="left" vertical="top" wrapText="1"/>
    </dxf>
    <dxf>
      <font>
        <name val="游ゴシック"/>
        <charset val="128"/>
        <family val="3"/>
        <strike val="0"/>
        <outline val="0"/>
        <shadow val="0"/>
        <sz val="12"/>
        <vertAlign val="baseline"/>
        <scheme val="minor"/>
      </font>
      <alignment horizontal="left" vertical="top" wrapText="1"/>
    </dxf>
    <dxf>
      <font>
        <name val="游ゴシック"/>
        <charset val="128"/>
        <family val="3"/>
        <strike val="0"/>
        <outline val="0"/>
        <shadow val="0"/>
        <condense val="0"/>
        <color theme="1"/>
        <extend val="0"/>
        <sz val="12"/>
        <vertAlign val="baseline"/>
        <scheme val="minor"/>
      </font>
      <alignment horizontal="left" vertical="top" wrapText="1"/>
    </dxf>
    <dxf>
      <font>
        <name val="游ゴシック"/>
        <charset val="128"/>
        <family val="3"/>
        <strike val="0"/>
        <outline val="0"/>
        <shadow val="0"/>
        <sz val="12"/>
        <vertAlign val="baseline"/>
        <scheme val="minor"/>
      </font>
      <alignment horizontal="left" vertical="top" wrapText="1"/>
    </dxf>
    <dxf>
      <font>
        <name val="游ゴシック"/>
        <charset val="128"/>
        <family val="3"/>
        <strike val="0"/>
        <outline val="0"/>
        <shadow val="0"/>
        <sz val="12"/>
        <vertAlign val="baseline"/>
        <scheme val="minor"/>
      </font>
      <alignment horizontal="left" vertical="top" wrapText="1"/>
    </dxf>
    <dxf>
      <font>
        <name val="游ゴシック"/>
        <charset val="128"/>
        <family val="3"/>
        <strike val="0"/>
        <outline val="0"/>
        <shadow val="0"/>
        <sz val="12"/>
        <vertAlign val="baseline"/>
        <scheme val="minor"/>
      </font>
      <alignment horizontal="left" vertical="top" wrapText="1"/>
    </dxf>
    <dxf>
      <font>
        <name val="游ゴシック"/>
        <charset val="128"/>
        <family val="3"/>
        <strike val="0"/>
        <outline val="0"/>
        <shadow val="0"/>
        <sz val="12"/>
        <vertAlign val="baseline"/>
        <scheme val="minor"/>
      </font>
      <alignment horizontal="left" vertical="top" wrapText="1"/>
    </dxf>
    <dxf>
      <font>
        <name val="游ゴシック"/>
        <charset val="128"/>
        <family val="3"/>
        <strike val="0"/>
        <outline val="0"/>
        <shadow val="0"/>
        <sz val="12"/>
        <vertAlign val="baseline"/>
        <scheme val="minor"/>
      </font>
      <alignment horizontal="left" vertical="top"/>
    </dxf>
    <dxf>
      <font>
        <name val="游ゴシック"/>
        <charset val="128"/>
        <family val="3"/>
        <strike val="0"/>
        <outline val="0"/>
        <shadow val="0"/>
        <color theme="1"/>
        <sz val="12"/>
        <vertAlign val="baseline"/>
        <scheme val="minor"/>
      </font>
      <alignment horizontal="general" vertical="bottom"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テーブル5" displayName="テーブル5" ref="D70:P90" headerRowCount="1" totalsRowShown="0" headerRowDxfId="14" dataDxfId="13" headerRowCellStyle="標準 2">
  <autoFilter ref="D70:P90"/>
  <tableColumns count="13">
    <tableColumn id="1" name="系統No" dataDxfId="12" dataCellStyle="標準 2"/>
    <tableColumn id="2" name="枝番No" dataDxfId="11" dataCellStyle="標準 2"/>
    <tableColumn id="3" name="要件id" dataDxfId="10" dataCellStyle="標準 2">
      <calculatedColumnFormula>テーブル5[[#This Row],[系統No]]&amp;"-"&amp;テーブル5[[#This Row],[枝番No]]</calculatedColumnFormula>
    </tableColumn>
    <tableColumn id="4" name="系統" dataDxfId="9" dataCellStyle="標準 2"/>
    <tableColumn id="5" name="要求カテゴリ" dataDxfId="8" dataCellStyle="標準 2"/>
    <tableColumn id="6" name="要求(ユースケース・ユーザー視点・目標)" dataDxfId="7" dataCellStyle="標準 2"/>
    <tableColumn id="7" name="経緯" dataDxfId="6" dataCellStyle="標準 2"/>
    <tableColumn id="8" name="要件(システム側視点・結論)" dataDxfId="5" dataCellStyle="標準 2"/>
    <tableColumn id="13" name="チェック対象" dataDxfId="4" dataCellStyle="標準 2"/>
    <tableColumn id="9" name="必要な確認粒度" dataDxfId="3" dataCellStyle="標準 2"/>
    <tableColumn id="10" name="チェック者" dataDxfId="2" dataCellStyle="標準 2"/>
    <tableColumn id="11" name="チェック日" dataDxfId="1" dataCellStyle="標準 2"/>
    <tableColumn id="12" name="シート/備考" dataDxfId="0" dataCellStyle="標準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qiita.com/yuuu1654/items/1bbe580da09a56e30e62" TargetMode="External" Id="rId1"/><Relationship Type="http://schemas.openxmlformats.org/officeDocument/2006/relationships/hyperlink" Target="https://duckdb.org/2023/11/03/db-benchmark-update.html" TargetMode="External" Id="rId2"/><Relationship Type="http://schemas.openxmlformats.org/officeDocument/2006/relationships/table" Target="/xl/tables/table1.xml" Id="rId3"/></Relationships>
</file>

<file path=xl/worksheets/sheet1.xml><?xml version="1.0" encoding="utf-8"?>
<worksheet xmlns="http://schemas.openxmlformats.org/spreadsheetml/2006/main">
  <sheetPr codeName="Sheet1">
    <outlinePr summaryBelow="1" summaryRight="1"/>
    <pageSetUpPr/>
  </sheetPr>
  <dimension ref="A1:P16"/>
  <sheetViews>
    <sheetView showGridLines="0" zoomScaleNormal="100" workbookViewId="0">
      <selection activeCell="S4" sqref="S4"/>
    </sheetView>
  </sheetViews>
  <sheetFormatPr baseColWidth="8" defaultColWidth="9" defaultRowHeight="26.45"/>
  <cols>
    <col width="2.625" customWidth="1" style="11" min="1" max="4"/>
    <col width="9" customWidth="1" style="12" min="5" max="13"/>
    <col width="9" customWidth="1" style="13" min="14" max="14"/>
    <col width="9" customWidth="1" style="12" min="15" max="16384"/>
  </cols>
  <sheetData>
    <row r="1">
      <c r="A1" s="2" t="n"/>
    </row>
    <row r="2"/>
    <row r="3">
      <c r="O3" s="13" t="n"/>
    </row>
    <row r="4" ht="45.6" customHeight="1" s="124">
      <c r="E4" s="14" t="n"/>
      <c r="O4" s="3" t="inlineStr">
        <is>
          <t>【サービス名】</t>
        </is>
      </c>
    </row>
    <row r="5" ht="45.6" customHeight="1" s="124">
      <c r="E5" s="14" t="n"/>
      <c r="O5" s="3" t="n"/>
    </row>
    <row r="6" ht="41.45" customHeight="1" s="124">
      <c r="E6" s="14" t="n"/>
      <c r="O6" s="4" t="inlineStr">
        <is>
          <t>要求要件定義書</t>
        </is>
      </c>
    </row>
    <row r="7" ht="32.45" customHeight="1" s="124">
      <c r="E7" s="14" t="n"/>
      <c r="M7" s="5" t="n"/>
      <c r="O7" s="6" t="n"/>
    </row>
    <row r="8" ht="32.45" customHeight="1" s="124">
      <c r="E8" s="15" t="n"/>
      <c r="L8" s="6" t="n"/>
      <c r="M8" s="7" t="n"/>
      <c r="O8" s="16" t="n"/>
      <c r="P8" s="9" t="n"/>
    </row>
    <row r="9" ht="32.45" customHeight="1" s="124">
      <c r="L9" s="8" t="n"/>
      <c r="M9" s="7" t="n"/>
      <c r="O9" s="9" t="inlineStr">
        <is>
          <t>要求要件定義</t>
        </is>
      </c>
      <c r="P9" s="9" t="n"/>
    </row>
    <row r="10" ht="32.45" customHeight="1" s="124">
      <c r="L10" s="8" t="n"/>
      <c r="M10" s="7" t="n"/>
      <c r="O10" s="16" t="n"/>
      <c r="P10" s="8" t="n"/>
    </row>
    <row r="11" ht="32.45" customHeight="1" s="124">
      <c r="L11" s="10" t="n"/>
      <c r="M11" s="8" t="n"/>
      <c r="O11" s="8" t="n"/>
      <c r="P11" s="9" t="n"/>
    </row>
    <row r="12" ht="32.45" customHeight="1" s="124">
      <c r="L12" s="8" t="n"/>
      <c r="M12" s="7" t="n"/>
      <c r="N12" s="9" t="n"/>
      <c r="O12" s="8" t="n"/>
      <c r="P12" s="8" t="n"/>
    </row>
    <row r="13" ht="32.45" customHeight="1" s="124">
      <c r="L13" s="10" t="n"/>
      <c r="M13" s="7" t="n"/>
      <c r="N13" s="9" t="n"/>
      <c r="O13" s="8" t="n"/>
      <c r="P13" s="9" t="n"/>
    </row>
    <row r="14" ht="32.45" customHeight="1" s="124">
      <c r="L14" s="8" t="n"/>
      <c r="M14" s="8" t="n"/>
      <c r="N14" s="8" t="n"/>
      <c r="O14" s="8" t="n"/>
      <c r="P14" s="9" t="n"/>
    </row>
    <row r="15" ht="28.9" customHeight="1" s="124">
      <c r="L15" s="5" t="n"/>
      <c r="M15" s="17" t="n"/>
      <c r="N15" s="12" t="n"/>
      <c r="P15" s="18" t="n"/>
    </row>
    <row r="16">
      <c r="M16" s="17" t="n"/>
      <c r="N16" s="12" t="n"/>
    </row>
  </sheetData>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codeName="Sheet2">
    <outlinePr summaryBelow="1" summaryRight="1"/>
    <pageSetUpPr/>
  </sheetPr>
  <dimension ref="A1:Q158"/>
  <sheetViews>
    <sheetView tabSelected="1" zoomScale="70" zoomScaleNormal="70" workbookViewId="0">
      <selection activeCell="A7" sqref="A7"/>
    </sheetView>
  </sheetViews>
  <sheetFormatPr baseColWidth="8" defaultColWidth="9" defaultRowHeight="19.9"/>
  <cols>
    <col width="3.5" customWidth="1" style="22" min="1" max="1"/>
    <col width="5" customWidth="1" style="22" min="2" max="2"/>
    <col width="7.5" customWidth="1" style="22" min="3" max="4"/>
    <col width="10.875" customWidth="1" style="22" min="5" max="5"/>
    <col width="9.625" customWidth="1" style="22" min="6" max="6"/>
    <col width="12.875" customWidth="1" style="22" min="7" max="7"/>
    <col width="42.75" customWidth="1" style="22" min="8" max="8"/>
    <col width="61.5" customWidth="1" style="22" min="9" max="9"/>
    <col width="65.5" customWidth="1" style="25" min="10" max="10"/>
    <col width="51.625" customWidth="1" style="22" min="11" max="11"/>
    <col width="13.875" customWidth="1" style="22" min="12" max="12"/>
    <col width="25.375" customWidth="1" style="22" min="13" max="13"/>
    <col width="12.625" customWidth="1" style="22" min="14" max="14"/>
    <col width="17.125" customWidth="1" style="22" min="15" max="15"/>
    <col width="29" customWidth="1" style="22" min="16" max="16"/>
    <col width="8.75" customWidth="1" style="124" min="17" max="17"/>
    <col width="11.75" customWidth="1" style="22" min="18" max="18"/>
    <col width="12.625" customWidth="1" style="22" min="19" max="19"/>
    <col width="9" customWidth="1" style="22" min="20" max="16384"/>
  </cols>
  <sheetData>
    <row r="1">
      <c r="Q1" s="22" t="n"/>
    </row>
    <row r="2">
      <c r="Q2" s="22" t="n"/>
    </row>
    <row r="3">
      <c r="D3" s="24" t="n"/>
      <c r="Q3" s="22" t="n"/>
    </row>
    <row r="4" ht="22.15" customFormat="1" customHeight="1" s="12">
      <c r="D4" s="82" t="n"/>
      <c r="E4" s="82" t="n"/>
      <c r="F4" s="82" t="n"/>
      <c r="G4" s="82" t="n"/>
      <c r="H4" s="82" t="n"/>
      <c r="I4" s="82" t="n"/>
      <c r="J4" s="82" t="n"/>
    </row>
    <row r="5" ht="28.9" customFormat="1" customHeight="1" s="70">
      <c r="D5" s="21" t="inlineStr">
        <is>
          <t>◆PJ</t>
        </is>
      </c>
      <c r="E5" s="87" t="n"/>
      <c r="G5" s="88" t="n"/>
      <c r="H5" s="88" t="n"/>
      <c r="I5" s="88" t="n"/>
      <c r="J5" s="88" t="n"/>
      <c r="K5" s="88" t="n"/>
    </row>
    <row r="6" ht="40.15" customFormat="1" customHeight="1" s="70" thickBot="1">
      <c r="E6" s="89" t="n"/>
      <c r="F6" s="117" t="inlineStr">
        <is>
          <t>PJ名</t>
        </is>
      </c>
      <c r="G6" s="125" t="n"/>
      <c r="H6" s="126" t="n"/>
      <c r="I6" s="103" t="inlineStr">
        <is>
          <t>テーマ</t>
        </is>
      </c>
      <c r="J6" s="102" t="inlineStr">
        <is>
          <t>システム名</t>
        </is>
      </c>
      <c r="K6" s="102" t="inlineStr">
        <is>
          <t>通知発報先</t>
        </is>
      </c>
      <c r="L6" s="102" t="inlineStr">
        <is>
          <t>ドキュメント保管先</t>
        </is>
      </c>
    </row>
    <row r="7" ht="22.9" customFormat="1" customHeight="1" s="70" thickTop="1">
      <c r="E7" s="89" t="n"/>
      <c r="F7" s="118" t="inlineStr">
        <is>
          <t>【PJ/システム名】自動化</t>
        </is>
      </c>
      <c r="G7" s="127" t="n"/>
      <c r="H7" s="128" t="n"/>
      <c r="I7" s="104" t="inlineStr">
        <is>
          <t>L5施策</t>
        </is>
      </c>
      <c r="J7" s="99" t="inlineStr">
        <is>
          <t>【PJ/システム名】1</t>
        </is>
      </c>
      <c r="K7" s="100" t="inlineStr">
        <is>
          <t>個別処理による</t>
        </is>
      </c>
      <c r="L7" s="101" t="inlineStr">
        <is>
          <t>【社内URL/Webhook URL】</t>
        </is>
      </c>
    </row>
    <row r="8" ht="28.9" customFormat="1" customHeight="1" s="70">
      <c r="E8" s="21" t="n"/>
      <c r="F8" s="90" t="n"/>
      <c r="G8" s="90" t="n"/>
      <c r="H8" s="90" t="n"/>
      <c r="I8" s="90" t="n"/>
      <c r="J8" s="90" t="n"/>
      <c r="K8" s="91" t="n"/>
      <c r="L8" s="91" t="n"/>
      <c r="M8" s="92" t="n"/>
    </row>
    <row r="9" ht="22.9" customFormat="1" customHeight="1" s="70" thickBot="1">
      <c r="E9" s="89" t="n"/>
      <c r="F9" s="84" t="inlineStr">
        <is>
          <t>利害関係者</t>
        </is>
      </c>
      <c r="G9" s="125" t="n"/>
      <c r="H9" s="125" t="n"/>
      <c r="I9" s="125" t="n"/>
      <c r="J9" s="126" t="n"/>
      <c r="K9" s="84" t="inlineStr">
        <is>
          <t>分掌.運用保守者(暫定)</t>
        </is>
      </c>
      <c r="L9" s="91" t="n"/>
      <c r="M9" s="92" t="n"/>
    </row>
    <row r="10" ht="22.9" customFormat="1" customHeight="1" s="70" thickTop="1">
      <c r="E10" s="89" t="n"/>
      <c r="F10" s="115" t="inlineStr">
        <is>
          <t>【担当者名】・【担当者名】・【担当者名】・【担当者名】</t>
        </is>
      </c>
      <c r="G10" s="127" t="n"/>
      <c r="H10" s="127" t="n"/>
      <c r="I10" s="127" t="n"/>
      <c r="J10" s="128" t="n"/>
      <c r="K10" s="115" t="inlineStr">
        <is>
          <t>【担当者名】、【担当者名】、【担当者名】</t>
        </is>
      </c>
      <c r="L10" s="91" t="n"/>
      <c r="M10" s="92" t="n"/>
    </row>
    <row r="11" ht="22.15" customFormat="1" customHeight="1" s="70">
      <c r="E11" s="89" t="n"/>
      <c r="F11" s="93" t="n"/>
      <c r="G11" s="93" t="n"/>
      <c r="H11" s="93" t="n"/>
      <c r="I11" s="93" t="n"/>
      <c r="J11" s="93" t="n"/>
      <c r="K11" s="93" t="n"/>
      <c r="L11" s="91" t="n"/>
      <c r="M11" s="92" t="n"/>
    </row>
    <row r="12" ht="28.9" customFormat="1" customHeight="1" s="70">
      <c r="D12" s="21" t="inlineStr">
        <is>
          <t>◆課題形成</t>
        </is>
      </c>
      <c r="E12" s="89" t="n"/>
      <c r="F12" s="94" t="n"/>
      <c r="G12" s="94" t="n"/>
      <c r="H12" s="94" t="n"/>
      <c r="I12" s="94" t="n"/>
      <c r="J12" s="94" t="n"/>
      <c r="K12" s="94" t="n"/>
      <c r="L12" s="91" t="n"/>
      <c r="M12" s="92" t="n"/>
    </row>
    <row r="13" ht="22.9" customFormat="1" customHeight="1" s="70" thickBot="1">
      <c r="E13" s="89" t="n"/>
      <c r="F13" s="84" t="inlineStr">
        <is>
          <t>概要/結論(理想に対する解/代表機能と有用性)</t>
        </is>
      </c>
      <c r="G13" s="125" t="n"/>
      <c r="H13" s="125" t="n"/>
      <c r="I13" s="125" t="n"/>
      <c r="J13" s="126" t="n"/>
      <c r="K13" s="105" t="inlineStr">
        <is>
          <t>サービス名</t>
        </is>
      </c>
      <c r="L13" s="105" t="inlineStr">
        <is>
          <t>熱量(must,should,want,緊急,etc...)</t>
        </is>
      </c>
      <c r="M13" s="84" t="n"/>
    </row>
    <row r="14" ht="22.9" customFormat="1" customHeight="1" s="70" thickTop="1">
      <c r="E14" s="89" t="n"/>
      <c r="F14" s="129" t="inlineStr">
        <is>
          <t>本処理サービスは、複数種類のデータソースからデータをロードする個別スクリプトにて、メールやTeams、データ処理を含む、共通機能を提供するものである。</t>
        </is>
      </c>
      <c r="G14" s="130" t="n"/>
      <c r="H14" s="130" t="n"/>
      <c r="I14" s="130" t="n"/>
      <c r="J14" s="131" t="n"/>
      <c r="K14" s="119" t="inlineStr">
        <is>
          <t xml:space="preserve"> 【サービス名】</t>
        </is>
      </c>
      <c r="L14" s="116" t="inlineStr">
        <is>
          <t>must</t>
        </is>
      </c>
      <c r="M14" s="128" t="n"/>
    </row>
    <row r="15" ht="22.15" customFormat="1" customHeight="1" s="70">
      <c r="E15" s="89" t="n"/>
      <c r="F15" s="96" t="n"/>
      <c r="G15" s="96" t="n"/>
      <c r="H15" s="96" t="n"/>
      <c r="I15" s="96" t="n"/>
      <c r="J15" s="96" t="n"/>
      <c r="K15" s="96" t="n"/>
      <c r="L15" s="96" t="n"/>
      <c r="M15" s="92" t="n"/>
    </row>
    <row r="16" ht="22.9" customFormat="1" customHeight="1" s="70" thickBot="1">
      <c r="E16" s="89" t="n"/>
      <c r="F16" s="84" t="inlineStr">
        <is>
          <t>現状と課題(As Is(いまどうなっている))</t>
        </is>
      </c>
      <c r="G16" s="125" t="n"/>
      <c r="H16" s="125" t="n"/>
      <c r="I16" s="125" t="n"/>
      <c r="J16" s="126" t="n"/>
      <c r="K16" s="84" t="inlineStr">
        <is>
          <t>理想(To Be(どうあるべき/何ができる)・目的・哲学・思想)</t>
        </is>
      </c>
      <c r="L16" s="126" t="n"/>
      <c r="M16" s="92" t="n"/>
    </row>
    <row r="17" ht="22.9" customFormat="1" customHeight="1" s="70" thickTop="1">
      <c r="E17" s="89" t="n"/>
      <c r="F17" s="129" t="inlineStr">
        <is>
          <t>自動化サービス導入のトレードオフとして、自動化サービス一式の保守負荷が上昇することが見込まれる。</t>
        </is>
      </c>
      <c r="G17" s="130" t="n"/>
      <c r="H17" s="130" t="n"/>
      <c r="I17" s="130" t="n"/>
      <c r="J17" s="131" t="n"/>
      <c r="K17" s="129" t="inlineStr">
        <is>
          <t>人の運用負荷/保守負荷/技術負債を最低化する。</t>
        </is>
      </c>
      <c r="L17" s="131" t="n"/>
      <c r="M17" s="92" t="n"/>
    </row>
    <row r="18" ht="22.15" customFormat="1" customHeight="1" s="70">
      <c r="E18" s="89" t="n"/>
      <c r="F18" s="96" t="n"/>
      <c r="G18" s="96" t="n"/>
      <c r="H18" s="94" t="n"/>
      <c r="I18" s="94" t="n"/>
      <c r="J18" s="94" t="n"/>
      <c r="K18" s="94" t="n"/>
      <c r="L18" s="94" t="n"/>
      <c r="M18" s="92" t="n"/>
    </row>
    <row r="19" ht="22.9" customFormat="1" customHeight="1" s="70" thickBot="1">
      <c r="E19" s="89" t="n"/>
      <c r="F19" s="84" t="inlineStr">
        <is>
          <t>経緯(背景・文化・様相)</t>
        </is>
      </c>
      <c r="G19" s="125" t="n"/>
      <c r="H19" s="125" t="n"/>
      <c r="I19" s="125" t="n"/>
      <c r="J19" s="125" t="n"/>
      <c r="K19" s="125" t="n"/>
      <c r="L19" s="126" t="n"/>
      <c r="M19" s="92" t="n"/>
    </row>
    <row r="20" ht="20.45" customFormat="1" customHeight="1" s="70" thickTop="1">
      <c r="E20" s="89" t="n"/>
      <c r="F20" s="132" t="inlineStr">
        <is>
          <t>今までデータ処理都度、SPSSを人手で手動実行を行い、各データソース追加枚に、手動でSPSSへデータソースを追加していた。	
SPSSについては自動化ができないと考えられたまま運用されてしまい、運用が手動実行化&amp;俗人化してしまっていた。</t>
        </is>
      </c>
      <c r="G20" s="127" t="n"/>
      <c r="H20" s="127" t="n"/>
      <c r="I20" s="127" t="n"/>
      <c r="J20" s="127" t="n"/>
      <c r="K20" s="127" t="n"/>
      <c r="L20" s="128" t="n"/>
      <c r="M20" s="92" t="n"/>
    </row>
    <row r="21" ht="22.15" customFormat="1" customHeight="1" s="70">
      <c r="E21" s="89" t="n"/>
      <c r="F21" s="93" t="n"/>
      <c r="G21" s="93" t="n"/>
      <c r="H21" s="93" t="n"/>
      <c r="I21" s="93" t="n"/>
      <c r="J21" s="93" t="n"/>
      <c r="K21" s="93" t="n"/>
      <c r="L21" s="93" t="n"/>
      <c r="M21" s="92" t="n"/>
    </row>
    <row r="22" ht="28.9" customHeight="1" s="124">
      <c r="B22" s="24" t="n"/>
      <c r="D22" s="21" t="inlineStr">
        <is>
          <t>◆解決策</t>
        </is>
      </c>
      <c r="E22" s="57" t="n"/>
      <c r="F22" s="58" t="n"/>
      <c r="J22" s="22" t="n"/>
      <c r="K22" s="25" t="n"/>
      <c r="Q22" s="22" t="n"/>
    </row>
    <row r="23" ht="29.45" customHeight="1" s="124" thickBot="1">
      <c r="B23" s="24" t="n"/>
      <c r="D23" s="21" t="n"/>
      <c r="E23" s="57" t="n"/>
      <c r="F23" s="84" t="inlineStr">
        <is>
          <t>スコープ</t>
        </is>
      </c>
      <c r="G23" s="125" t="n"/>
      <c r="H23" s="125" t="n"/>
      <c r="I23" s="125" t="n"/>
      <c r="J23" s="126" t="n"/>
      <c r="K23" s="25" t="n"/>
      <c r="Q23" s="22" t="n"/>
    </row>
    <row r="24" ht="27" customFormat="1" customHeight="1" s="70" thickTop="1">
      <c r="E24" s="87" t="n"/>
      <c r="F24" s="129" t="inlineStr">
        <is>
          <t>【PJ/システム名】の自動化について随時依頼がされた範囲</t>
        </is>
      </c>
      <c r="G24" s="130" t="n"/>
      <c r="H24" s="130" t="n"/>
      <c r="I24" s="130" t="n"/>
      <c r="J24" s="131" t="n"/>
      <c r="K24" s="97" t="n"/>
      <c r="L24" s="72" t="n"/>
      <c r="M24" s="92" t="n"/>
    </row>
    <row r="25" customFormat="1" s="70">
      <c r="E25" s="89" t="n"/>
      <c r="F25" s="90" t="n"/>
      <c r="G25" s="90" t="n"/>
      <c r="H25" s="90" t="n"/>
      <c r="I25" s="90" t="n"/>
      <c r="J25" s="90" t="n"/>
      <c r="K25" s="90" t="n"/>
      <c r="L25" s="90" t="n"/>
      <c r="M25" s="92" t="n"/>
    </row>
    <row r="26" ht="27" customFormat="1" customHeight="1" s="70" thickBot="1">
      <c r="E26" s="87" t="n"/>
      <c r="F26" s="84" t="inlineStr">
        <is>
          <t>課題</t>
        </is>
      </c>
      <c r="G26" s="125" t="n"/>
      <c r="H26" s="125" t="n"/>
      <c r="I26" s="125" t="n"/>
      <c r="J26" s="125" t="n"/>
      <c r="K26" s="125" t="n"/>
      <c r="L26" s="126" t="n"/>
    </row>
    <row r="27" ht="20.45" customFormat="1" customHeight="1" s="70" thickTop="1">
      <c r="E27" s="89" t="n"/>
      <c r="F27" s="118" t="n"/>
      <c r="G27" s="127" t="n"/>
      <c r="H27" s="127" t="n"/>
      <c r="I27" s="127" t="n"/>
      <c r="J27" s="127" t="n"/>
      <c r="K27" s="127" t="n"/>
      <c r="L27" s="128" t="n"/>
    </row>
    <row r="28" ht="28.9" customFormat="1" customHeight="1" s="70">
      <c r="E28" s="89" t="n"/>
      <c r="F28" s="98" t="n"/>
      <c r="G28" s="90" t="n"/>
      <c r="H28" s="90" t="n"/>
      <c r="I28" s="90" t="n"/>
      <c r="J28" s="90" t="n"/>
      <c r="K28" s="90" t="n"/>
      <c r="L28" s="90" t="n"/>
    </row>
    <row r="29" ht="22.9" customFormat="1" customHeight="1" s="70" thickBot="1">
      <c r="E29" s="89" t="n"/>
      <c r="F29" s="84" t="inlineStr">
        <is>
          <t>方針</t>
        </is>
      </c>
      <c r="G29" s="125" t="n"/>
      <c r="H29" s="125" t="n"/>
      <c r="I29" s="125" t="n"/>
      <c r="J29" s="125" t="n"/>
      <c r="K29" s="125" t="n"/>
      <c r="L29" s="126" t="n"/>
    </row>
    <row r="30" ht="20.45" customFormat="1" customHeight="1" s="70" thickTop="1">
      <c r="E30" s="89" t="n"/>
      <c r="F30" s="118" t="inlineStr">
        <is>
          <t>Pythonを中心に、ワークステーションで処理をする形で自動化していく。</t>
        </is>
      </c>
      <c r="G30" s="127" t="n"/>
      <c r="H30" s="127" t="n"/>
      <c r="I30" s="127" t="n"/>
      <c r="J30" s="127" t="n"/>
      <c r="K30" s="127" t="n"/>
      <c r="L30" s="128" t="n"/>
    </row>
    <row r="31" ht="28.9" customHeight="1" s="124">
      <c r="B31" s="24" t="n"/>
      <c r="C31" s="21" t="inlineStr">
        <is>
          <t>◆解決策</t>
        </is>
      </c>
      <c r="D31" s="57" t="n"/>
      <c r="E31" s="58" t="n"/>
      <c r="Q31" s="22" t="n"/>
    </row>
    <row r="32" ht="28.9" customHeight="1" s="124">
      <c r="B32" s="24" t="n"/>
      <c r="D32" s="21" t="inlineStr">
        <is>
          <t>◆自動処理の非機能要件(モデリング要件)</t>
        </is>
      </c>
      <c r="F32" s="23" t="n"/>
      <c r="Q32" s="22" t="n"/>
    </row>
    <row r="33" ht="26.45" customHeight="1" s="124">
      <c r="B33" s="24" t="n"/>
      <c r="C33" s="59" t="n"/>
      <c r="D33" s="65" t="n"/>
      <c r="E33" s="1" t="inlineStr">
        <is>
          <t>◆シンプル性(アーキテクチャの変更に対する)</t>
        </is>
      </c>
      <c r="G33" s="59" t="n"/>
      <c r="Q33" s="22" t="n"/>
    </row>
    <row r="34" ht="22.15" customHeight="1" s="124">
      <c r="B34" s="24" t="n"/>
      <c r="C34" s="59" t="n"/>
      <c r="D34" s="65" t="n"/>
      <c r="E34" s="61" t="inlineStr">
        <is>
          <t>要求：</t>
        </is>
      </c>
      <c r="F34" s="59" t="inlineStr">
        <is>
          <t>アーキテクチャの変更が容易な構造となっていること。</t>
        </is>
      </c>
      <c r="G34" s="59" t="n"/>
      <c r="K34" s="26" t="n"/>
      <c r="Q34" s="22" t="n"/>
    </row>
    <row r="35" ht="22.15" customHeight="1" s="124">
      <c r="B35" s="24" t="n"/>
      <c r="C35" s="59" t="n"/>
      <c r="D35" s="65" t="n"/>
      <c r="E35" s="61" t="n"/>
      <c r="F35" s="61" t="inlineStr">
        <is>
          <t>要件：</t>
        </is>
      </c>
      <c r="G35" s="59" t="inlineStr">
        <is>
          <t>アーキテクチャの構成要素を最小化・スパース化すること。</t>
        </is>
      </c>
      <c r="Q35" s="22" t="n"/>
    </row>
    <row r="36" ht="26.45" customHeight="1" s="124">
      <c r="B36" s="24" t="n"/>
      <c r="E36" s="64" t="inlineStr">
        <is>
          <t>◆変更容易性(保守＝不具合対応/改修/検証/デバッグに対する)</t>
        </is>
      </c>
      <c r="F36" s="23" t="n"/>
      <c r="Q36" s="22" t="n"/>
    </row>
    <row r="37" ht="22.15" customHeight="1" s="124">
      <c r="B37" s="24" t="n"/>
      <c r="D37" s="65" t="n"/>
      <c r="E37" s="61" t="inlineStr">
        <is>
          <t>要求：</t>
        </is>
      </c>
      <c r="F37" s="62" t="inlineStr">
        <is>
          <t>本番版/デバッグ/検証版のコードについて、同一のスクリプト内で実行できるようにしたい。</t>
        </is>
      </c>
      <c r="G37" s="59" t="n"/>
      <c r="Q37" s="22" t="n"/>
    </row>
    <row r="38" ht="22.15" customHeight="1" s="124">
      <c r="B38" s="24" t="n"/>
      <c r="D38" s="65" t="n"/>
      <c r="E38" s="59" t="n"/>
      <c r="F38" s="61" t="inlineStr">
        <is>
          <t>要件：</t>
        </is>
      </c>
      <c r="G38" s="62" t="inlineStr">
        <is>
          <t>デバッグフラグの切り替えにより、実行ロジックを切り替えられること。</t>
        </is>
      </c>
      <c r="Q38" s="22" t="n"/>
    </row>
    <row r="39" ht="22.15" customHeight="1" s="124">
      <c r="B39" s="24" t="n"/>
      <c r="D39" s="65" t="n"/>
      <c r="E39" s="61" t="inlineStr">
        <is>
          <t>要求：</t>
        </is>
      </c>
      <c r="F39" s="59" t="inlineStr">
        <is>
          <t>構築/保守を円滑に行えるようメンテナーの学習コストを最小化する言語/プラットフォームとしたい。</t>
        </is>
      </c>
      <c r="G39" s="62" t="n"/>
      <c r="Q39" s="22" t="n"/>
    </row>
    <row r="40" ht="28.9" customHeight="1" s="124">
      <c r="B40" s="24" t="n"/>
      <c r="C40" s="59" t="n"/>
      <c r="D40" s="65" t="n"/>
      <c r="E40" s="56" t="n"/>
      <c r="F40" s="61" t="inlineStr">
        <is>
          <t>要件：</t>
        </is>
      </c>
      <c r="G40" s="59" t="inlineStr">
        <is>
          <t>PythonまたはSPSSで主に構築されていること。</t>
        </is>
      </c>
      <c r="J40" s="71" t="n"/>
      <c r="K40" s="76" t="n"/>
      <c r="L40" s="70" t="n"/>
      <c r="Q40" s="22" t="n"/>
    </row>
    <row r="41" ht="28.9" customHeight="1" s="124">
      <c r="B41" s="24" t="n"/>
      <c r="C41" s="59" t="n"/>
      <c r="D41" s="65" t="n"/>
      <c r="E41" s="81" t="inlineStr">
        <is>
          <t>◆再利用性(カプセル化)</t>
        </is>
      </c>
      <c r="J41" s="77" t="n"/>
      <c r="K41" s="70" t="n"/>
      <c r="L41" s="70" t="n"/>
      <c r="Q41" s="22" t="n"/>
    </row>
    <row r="42" ht="22.15" customHeight="1" s="124">
      <c r="B42" s="24" t="n"/>
      <c r="E42" s="61" t="inlineStr">
        <is>
          <t>要求：</t>
        </is>
      </c>
      <c r="F42" s="59" t="inlineStr">
        <is>
          <t>似たような処理のバグを最小化すること。</t>
        </is>
      </c>
      <c r="G42" s="59" t="n"/>
      <c r="J42" s="70" t="n"/>
      <c r="K42" s="70" t="n"/>
      <c r="L42" s="70" t="n"/>
      <c r="Q42" s="22" t="n"/>
    </row>
    <row r="43" ht="22.15" customHeight="1" s="124">
      <c r="B43" s="24" t="n"/>
      <c r="E43" s="61" t="n"/>
      <c r="F43" s="59" t="inlineStr">
        <is>
          <t>要件：【サービス名】クラスへ可能な限り、【サービス名】を"カプセル化"すること。</t>
        </is>
      </c>
      <c r="G43" s="59" t="n"/>
      <c r="L43" s="70" t="n"/>
      <c r="Q43" s="22" t="n"/>
    </row>
    <row r="44" ht="32.45" customHeight="1" s="124">
      <c r="B44" s="24" t="n"/>
      <c r="E44" s="61" t="n"/>
      <c r="F44" s="59" t="inlineStr">
        <is>
          <t>参考：</t>
        </is>
      </c>
      <c r="G44" s="69" t="inlineStr">
        <is>
          <t>オブジェクト指向の3大要素について簡潔にまとめてみた #Java - Qiita</t>
        </is>
      </c>
      <c r="J44" s="71" t="n"/>
      <c r="K44" s="75" t="n"/>
      <c r="Q44" s="22" t="n"/>
    </row>
    <row r="45" ht="26.45" customHeight="1" s="124">
      <c r="B45" s="24" t="n"/>
      <c r="D45" s="65" t="n"/>
      <c r="E45" s="1" t="inlineStr">
        <is>
          <t>◆拡張性</t>
        </is>
      </c>
      <c r="J45" s="72" t="n"/>
      <c r="K45" s="72" t="n"/>
      <c r="Q45" s="22" t="n"/>
    </row>
    <row r="46" ht="22.15" customHeight="1" s="124">
      <c r="B46" s="24" t="n"/>
      <c r="C46" s="59" t="n"/>
      <c r="D46" s="65" t="n"/>
      <c r="E46" s="61" t="inlineStr">
        <is>
          <t>要求：</t>
        </is>
      </c>
      <c r="F46" s="59" t="inlineStr">
        <is>
          <t>サービスの拡張を含む保守時のメンテナーのコーディングコストを最小化すること。</t>
        </is>
      </c>
      <c r="G46" s="59" t="n"/>
      <c r="J46" s="72" t="n"/>
      <c r="Q46" s="22" t="n"/>
    </row>
    <row r="47" ht="22.15" customHeight="1" s="124">
      <c r="B47" s="24" t="n"/>
      <c r="C47" s="59" t="n"/>
      <c r="D47" s="65" t="n"/>
      <c r="E47" s="61" t="n"/>
      <c r="F47" s="61" t="inlineStr">
        <is>
          <t>要件：</t>
        </is>
      </c>
      <c r="G47" s="59" t="inlineStr">
        <is>
          <t>【サービス名】クラスのみを持つファイルと、個別処理クラスを持つファイルに分離し、個別処理クラスが【サービス名】クラスを継承して構成されること。</t>
        </is>
      </c>
      <c r="J47" s="72" t="n"/>
      <c r="K47" s="72" t="n"/>
      <c r="Q47" s="22" t="n"/>
    </row>
    <row r="48" ht="22.15" customHeight="1" s="124">
      <c r="B48" s="24" t="n"/>
      <c r="C48" s="59" t="n"/>
      <c r="D48" s="65" t="n"/>
      <c r="E48" s="61" t="n"/>
      <c r="F48" s="61" t="inlineStr">
        <is>
          <t>要件：</t>
        </is>
      </c>
      <c r="G48" s="59" t="inlineStr">
        <is>
          <t>パラメータ群をインスタンスオブジェクトから、辞書オブジェクトのメンバとして呼び出せる構造であること。</t>
        </is>
      </c>
      <c r="J48" s="72" t="n"/>
      <c r="K48" s="72" t="n"/>
      <c r="Q48" s="22" t="n"/>
    </row>
    <row r="49" ht="22.15" customHeight="1" s="124">
      <c r="B49" s="24" t="n"/>
      <c r="C49" s="59" t="n"/>
      <c r="D49" s="65" t="n"/>
      <c r="E49" s="61" t="n"/>
      <c r="F49" s="61" t="n"/>
      <c r="G49" s="59" t="n"/>
      <c r="J49" s="72" t="n"/>
      <c r="K49" s="72" t="n"/>
      <c r="Q49" s="22" t="n"/>
    </row>
    <row r="50" ht="26.45" customFormat="1" customHeight="1" s="59">
      <c r="B50" s="56" t="n"/>
      <c r="D50" s="65" t="n"/>
      <c r="E50" s="1" t="inlineStr">
        <is>
          <t>◆外乱耐性(レジリエンス、抽出系の案件に対し)</t>
        </is>
      </c>
      <c r="F50" s="61" t="n"/>
      <c r="J50" s="66" t="n"/>
    </row>
    <row r="51" ht="22.15" customFormat="1" customHeight="1" s="59">
      <c r="B51" s="56" t="n"/>
      <c r="D51" s="65" t="n"/>
      <c r="E51" s="61" t="inlineStr">
        <is>
          <t>要求：</t>
        </is>
      </c>
      <c r="F51" s="59" t="inlineStr">
        <is>
          <t>未知の仕様で出力された、マスターデータがない、もしくは人の不定性ロジックに依存したデータに対しても、キーワードを抽出できること。</t>
        </is>
      </c>
      <c r="J51" s="66" t="n"/>
    </row>
    <row r="52" ht="22.15" customFormat="1" customHeight="1" s="59">
      <c r="B52" s="56" t="n"/>
      <c r="D52" s="65" t="n"/>
      <c r="E52" s="61" t="n"/>
      <c r="F52" s="61" t="inlineStr">
        <is>
          <t>要件：</t>
        </is>
      </c>
      <c r="G52" s="59" t="inlineStr">
        <is>
          <t>マスターデータや仕様がない場合、言語学の正規表現サーチで広範囲に拾い上げるロジックで構成すること</t>
        </is>
      </c>
      <c r="J52" s="66" t="n"/>
    </row>
    <row r="53" ht="32.45" customHeight="1" s="124">
      <c r="B53" s="24" t="n"/>
      <c r="C53" s="59" t="n"/>
      <c r="D53" s="1" t="inlineStr">
        <is>
          <t>◆テスト方針</t>
        </is>
      </c>
      <c r="E53" s="61" t="n"/>
      <c r="F53" s="59" t="n"/>
      <c r="G53" s="59" t="n"/>
      <c r="J53" s="73" t="n"/>
      <c r="K53" s="74" t="n"/>
      <c r="Q53" s="22" t="n"/>
    </row>
    <row r="54" ht="22.15" customHeight="1" s="124">
      <c r="B54" s="24" t="n"/>
      <c r="C54" s="59" t="n"/>
      <c r="D54" s="59" t="n"/>
      <c r="E54" s="59" t="inlineStr">
        <is>
          <t>コードチェックで対応する。</t>
        </is>
      </c>
      <c r="F54" s="59" t="n"/>
      <c r="G54" s="59" t="n"/>
      <c r="Q54" s="22" t="n"/>
    </row>
    <row r="55" ht="22.15" customHeight="1" s="124">
      <c r="B55" s="24" t="n"/>
      <c r="C55" s="59" t="n"/>
      <c r="D55" s="59" t="n"/>
      <c r="E55" s="59" t="n"/>
      <c r="F55" s="59" t="n"/>
      <c r="G55" s="59" t="n"/>
      <c r="Q55" s="22" t="n"/>
    </row>
    <row r="56" ht="32.45" customHeight="1" s="124">
      <c r="B56" s="24" t="n"/>
      <c r="C56" s="59" t="n"/>
      <c r="D56" s="68" t="inlineStr">
        <is>
          <t>◆自動処理の機能要件</t>
        </is>
      </c>
      <c r="E56" s="59" t="n"/>
      <c r="F56" s="59" t="n"/>
      <c r="G56" s="59" t="n"/>
      <c r="Q56" s="22" t="n"/>
    </row>
    <row r="57" ht="28.9" customFormat="1" customHeight="1" s="59">
      <c r="B57" s="56" t="n"/>
      <c r="D57" s="67" t="n"/>
      <c r="E57" s="21" t="inlineStr">
        <is>
          <t>◆有用性</t>
        </is>
      </c>
      <c r="I57" s="63" t="n"/>
    </row>
    <row r="58" ht="22.15" customFormat="1" customHeight="1" s="59">
      <c r="B58" s="56" t="n"/>
      <c r="D58" s="67" t="n"/>
      <c r="E58" s="80" t="inlineStr">
        <is>
          <t>要求：</t>
        </is>
      </c>
      <c r="F58" s="79" t="inlineStr">
        <is>
          <t>既存の活性出力データと同等の、妥当なデータを妥当な場所へ自動出力できること。</t>
        </is>
      </c>
      <c r="J58" s="72" t="n"/>
      <c r="K58" s="72" t="n"/>
    </row>
    <row r="59" ht="22.15" customHeight="1" s="124">
      <c r="B59" s="24" t="n"/>
      <c r="C59" s="59" t="n"/>
      <c r="D59" s="67" t="n"/>
      <c r="E59" s="59" t="n"/>
      <c r="F59" s="78" t="inlineStr">
        <is>
          <t>要件：</t>
        </is>
      </c>
      <c r="G59" s="59" t="inlineStr">
        <is>
          <t>妥当性</t>
        </is>
      </c>
      <c r="H59" s="111" t="inlineStr">
        <is>
          <t>既存の活性出力データと同等の、妥当なデータを出力できること。</t>
        </is>
      </c>
      <c r="Q59" s="22" t="n"/>
    </row>
    <row r="60" ht="22.15" customHeight="1" s="124">
      <c r="B60" s="24" t="n"/>
      <c r="C60" s="59" t="n"/>
      <c r="D60" s="67" t="n"/>
      <c r="E60" s="59" t="n"/>
      <c r="F60" s="78" t="inlineStr">
        <is>
          <t>要件：</t>
        </is>
      </c>
      <c r="G60" s="59" t="inlineStr">
        <is>
          <t>場所</t>
        </is>
      </c>
      <c r="H60" s="111" t="inlineStr">
        <is>
          <t>既存の活性出力データと同等の、妥当な場所へ出力できること。</t>
        </is>
      </c>
      <c r="Q60" s="22" t="n"/>
    </row>
    <row r="61" ht="22.15" customHeight="1" s="124">
      <c r="B61" s="24" t="n"/>
      <c r="C61" s="59" t="n"/>
      <c r="D61" s="67" t="n"/>
      <c r="E61" s="59" t="n"/>
      <c r="F61" s="78" t="inlineStr">
        <is>
          <t>要件：</t>
        </is>
      </c>
      <c r="G61" s="59" t="inlineStr">
        <is>
          <t>前後処理</t>
        </is>
      </c>
      <c r="H61" s="111" t="inlineStr">
        <is>
          <t>前後処理で不整合/不具合がないこと。</t>
        </is>
      </c>
      <c r="Q61" s="22" t="n"/>
    </row>
    <row r="62" ht="22.15" customHeight="1" s="124">
      <c r="B62" s="24" t="n"/>
      <c r="C62" s="59" t="n"/>
      <c r="D62" s="67" t="n"/>
      <c r="E62" s="59" t="n"/>
      <c r="F62" s="78" t="inlineStr">
        <is>
          <t>要件：</t>
        </is>
      </c>
      <c r="G62" s="59" t="inlineStr">
        <is>
          <t>差分</t>
        </is>
      </c>
      <c r="H62" s="111" t="inlineStr">
        <is>
          <t>差分を説明可能な比較用の中間ファイルを出力すること。(要件外：差分があった場合、すべて明らかにして、依頼者/関係者へ周知すること。）</t>
        </is>
      </c>
      <c r="Q62" s="22" t="n"/>
    </row>
    <row r="63" ht="22.15" customFormat="1" customHeight="1" s="59">
      <c r="B63" s="56" t="n"/>
      <c r="D63" s="67" t="n"/>
      <c r="F63" s="78" t="inlineStr">
        <is>
          <t>要件：</t>
        </is>
      </c>
      <c r="G63" s="59" t="inlineStr">
        <is>
          <t>処理頻度</t>
        </is>
      </c>
      <c r="H63" s="111" t="inlineStr">
        <is>
          <t>データ生成頻度(N週1/日次/ストリーム)に合わせた処理頻度にすること。</t>
        </is>
      </c>
    </row>
    <row r="64" ht="22.15" customFormat="1" customHeight="1" s="59">
      <c r="B64" s="56" t="n"/>
      <c r="D64" s="67" t="n"/>
      <c r="F64" s="78" t="inlineStr">
        <is>
          <t>要件：</t>
        </is>
      </c>
      <c r="G64" s="59" t="inlineStr">
        <is>
          <t>処理速度</t>
        </is>
      </c>
      <c r="H64" s="111" t="inlineStr">
        <is>
          <t>要求頻度と日当たりデータ生成量(データ生成粒度(蓄積/リアルタイムストリーム/1shot)xサイズ(帳票レベル/テレメトリレベル)x処理頻度)　へ現実的に対応可能な処理速度をもつサーバーを選定し、処理すること。</t>
        </is>
      </c>
    </row>
    <row r="65" ht="22.15" customFormat="1" customHeight="1" s="59">
      <c r="B65" s="56" t="n"/>
      <c r="D65" s="67" t="n"/>
      <c r="F65" s="78" t="n"/>
      <c r="J65" s="66" t="n"/>
    </row>
    <row r="66" ht="26.45" customFormat="1" customHeight="1" s="59">
      <c r="B66" s="56" t="n"/>
      <c r="C66" s="56" t="n"/>
      <c r="E66" s="1" t="inlineStr">
        <is>
          <t>◆テスト方針</t>
        </is>
      </c>
      <c r="J66" s="66" t="n"/>
    </row>
    <row r="67" ht="22.15" customFormat="1" customHeight="1" s="59">
      <c r="B67" s="56" t="n"/>
      <c r="D67" s="56" t="n"/>
      <c r="F67" s="59" t="inlineStr">
        <is>
          <t>チェックシナリオ兼チェックリストで対応する。</t>
        </is>
      </c>
      <c r="G67" s="60" t="n"/>
      <c r="J67" s="66" t="n"/>
    </row>
    <row r="68">
      <c r="J68" s="31" t="n"/>
      <c r="P68" s="40" t="inlineStr">
        <is>
          <t>【UNCパス】</t>
        </is>
      </c>
      <c r="Q68" s="22" t="n"/>
    </row>
    <row r="69" ht="28.9" customHeight="1" s="124">
      <c r="C69" s="21" t="n"/>
      <c r="D69" s="21" t="inlineStr">
        <is>
          <t>◆要求・要件</t>
        </is>
      </c>
      <c r="J69" s="31" t="n"/>
      <c r="P69" s="83" t="n"/>
      <c r="Q69" s="22" t="n"/>
    </row>
    <row r="70">
      <c r="D70" s="19" t="inlineStr">
        <is>
          <t>系統No</t>
        </is>
      </c>
      <c r="E70" s="19" t="inlineStr">
        <is>
          <t>枝番No</t>
        </is>
      </c>
      <c r="F70" s="20" t="inlineStr">
        <is>
          <t>要件id</t>
        </is>
      </c>
      <c r="G70" s="19" t="inlineStr">
        <is>
          <t>系統</t>
        </is>
      </c>
      <c r="H70" s="19" t="inlineStr">
        <is>
          <t>要求カテゴリ</t>
        </is>
      </c>
      <c r="I70" s="19" t="inlineStr">
        <is>
          <t>要求(ユースケース・ユーザー視点・目標)</t>
        </is>
      </c>
      <c r="J70" s="27" t="inlineStr">
        <is>
          <t>経緯</t>
        </is>
      </c>
      <c r="K70" s="19" t="inlineStr">
        <is>
          <t>要件(システム側視点・結論)</t>
        </is>
      </c>
      <c r="L70" s="28" t="inlineStr">
        <is>
          <t>チェック対象</t>
        </is>
      </c>
      <c r="M70" s="28" t="inlineStr">
        <is>
          <t>必要な確認粒度</t>
        </is>
      </c>
      <c r="N70" s="27" t="inlineStr">
        <is>
          <t>チェック者</t>
        </is>
      </c>
      <c r="O70" s="27" t="inlineStr">
        <is>
          <t>チェック日</t>
        </is>
      </c>
      <c r="P70" s="27" t="inlineStr">
        <is>
          <t>シート/備考</t>
        </is>
      </c>
      <c r="Q70" s="22" t="n"/>
    </row>
    <row r="71" ht="39.6" customHeight="1" s="124">
      <c r="D71" s="32" t="n">
        <v>1</v>
      </c>
      <c r="E71" s="30" t="n">
        <v>1</v>
      </c>
      <c r="F71" s="32">
        <f>テーブル5[[#This Row],[系統No]]&amp;"-"&amp;テーブル5[[#This Row],[枝番No]]</f>
        <v/>
      </c>
      <c r="G71" s="32" t="inlineStr">
        <is>
          <t>構成系</t>
        </is>
      </c>
      <c r="H71" s="32" t="inlineStr">
        <is>
          <t>実行頻度(いつ)</t>
        </is>
      </c>
      <c r="I71" s="32" t="inlineStr">
        <is>
          <t>・任意のタイミングで自動化処理を自動実行できるようにしたい。</t>
        </is>
      </c>
      <c r="J71" s="32" t="inlineStr">
        <is>
          <t>手動でSPSSから実行しているため。</t>
        </is>
      </c>
      <c r="K71" s="32" t="inlineStr">
        <is>
          <t>タスクスケジューラで実行できるようにすること。</t>
        </is>
      </c>
      <c r="L71" s="36" t="inlineStr">
        <is>
          <t>☑</t>
        </is>
      </c>
      <c r="M71" s="36" t="inlineStr">
        <is>
          <t>個別</t>
        </is>
      </c>
      <c r="N71" s="36" t="inlineStr">
        <is>
          <t>【担当者名】</t>
        </is>
      </c>
      <c r="O71" s="33" t="n">
        <v>45189</v>
      </c>
      <c r="P71" s="38" t="inlineStr">
        <is>
          <t>いずれかの個別処理の要求要件定義書の同一要件idを参照。</t>
        </is>
      </c>
      <c r="Q71" s="22" t="n"/>
    </row>
    <row r="72" ht="79.15000000000001" customHeight="1" s="124">
      <c r="D72" s="32" t="n">
        <v>1</v>
      </c>
      <c r="E72" s="30" t="n">
        <v>2</v>
      </c>
      <c r="F72" s="32">
        <f>テーブル5[[#This Row],[系統No]]&amp;"-"&amp;テーブル5[[#This Row],[枝番No]]</f>
        <v/>
      </c>
      <c r="G72" s="32" t="inlineStr">
        <is>
          <t>構成系</t>
        </is>
      </c>
      <c r="H72" s="32" t="inlineStr">
        <is>
          <t>実行環境(だれ・どこ)</t>
        </is>
      </c>
      <c r="I72" s="32" t="inlineStr">
        <is>
          <t>・任意のタイミングでスケジュール実行ができる環境であること。</t>
        </is>
      </c>
      <c r="J72" s="32" t="inlineStr">
        <is>
          <t>毎日、担当者のPCを立ち上げるのは避けたいため。</t>
        </is>
      </c>
      <c r="K72" s="32" t="inlineStr">
        <is>
          <t>常時起動しているサーバー上で動かされること。
例：【サーバー/端末名】</t>
        </is>
      </c>
      <c r="L72" s="36" t="inlineStr">
        <is>
          <t>☑</t>
        </is>
      </c>
      <c r="M72" s="36" t="inlineStr">
        <is>
          <t>個別</t>
        </is>
      </c>
      <c r="N72" s="36" t="inlineStr">
        <is>
          <t>【担当者名】</t>
        </is>
      </c>
      <c r="O72" s="33" t="n">
        <v>45189</v>
      </c>
      <c r="P72" s="38" t="inlineStr">
        <is>
          <t>いずれかの個別処理の要求要件定義書の同一要件idを参照。(【個別処理名】DB案件の確認を推奨。)</t>
        </is>
      </c>
      <c r="Q72" s="22" t="n"/>
    </row>
    <row r="73" ht="79.15000000000001" customHeight="1" s="124">
      <c r="D73" s="32" t="n">
        <v>1</v>
      </c>
      <c r="E73" s="30" t="n">
        <v>3</v>
      </c>
      <c r="F73" s="32">
        <f>テーブル5[[#This Row],[系統No]]&amp;"-"&amp;テーブル5[[#This Row],[枝番No]]</f>
        <v/>
      </c>
      <c r="G73" s="32" t="inlineStr">
        <is>
          <t>構成系</t>
        </is>
      </c>
      <c r="H73" s="32" t="inlineStr">
        <is>
          <t>インプット配置場所(どこ)</t>
        </is>
      </c>
      <c r="I73" s="32" t="inlineStr">
        <is>
          <t>・中間ファイルを既存のネットワークドライブへ配置できること。</t>
        </is>
      </c>
      <c r="J73" s="32" t="inlineStr">
        <is>
          <t>既存の業務フローを踏襲するため。</t>
        </is>
      </c>
      <c r="K73" s="32" t="inlineStr">
        <is>
          <t>以下のパス配下のいずれかを指定できるようにすること。
【UNCパス】</t>
        </is>
      </c>
      <c r="L73" s="36" t="inlineStr">
        <is>
          <t>☑</t>
        </is>
      </c>
      <c r="M73" s="36" t="inlineStr">
        <is>
          <t>個別</t>
        </is>
      </c>
      <c r="N73" s="36" t="inlineStr">
        <is>
          <t>【担当者名】</t>
        </is>
      </c>
      <c r="O73" s="33" t="n">
        <v>45189</v>
      </c>
      <c r="P73" s="38" t="inlineStr">
        <is>
          <t>いずれかの個別処理の要求要件定義書の同一要件idを参照。(【個別処理名】DB案件の確認を推奨。)</t>
        </is>
      </c>
      <c r="Q73" s="22" t="n"/>
    </row>
    <row r="74" ht="79.15000000000001" customHeight="1" s="124">
      <c r="D74" s="32" t="n">
        <v>1</v>
      </c>
      <c r="E74" s="30" t="n">
        <v>4</v>
      </c>
      <c r="F74" s="32">
        <f>テーブル5[[#This Row],[系統No]]&amp;"-"&amp;テーブル5[[#This Row],[枝番No]]</f>
        <v/>
      </c>
      <c r="G74" s="32" t="inlineStr">
        <is>
          <t>構成系</t>
        </is>
      </c>
      <c r="H74" s="32" t="inlineStr">
        <is>
          <t>入力データ(なに)</t>
        </is>
      </c>
      <c r="I74" s="32" t="inlineStr">
        <is>
          <t>・中間ファイル出力に必要なファイル一式を、処理できること。</t>
        </is>
      </c>
      <c r="J74" s="32" t="inlineStr">
        <is>
          <t>既存の業務フローを踏襲するため。</t>
        </is>
      </c>
      <c r="K74" s="22" t="inlineStr">
        <is>
          <t>複数の入力ファイルを処理対象にできること。</t>
        </is>
      </c>
      <c r="L74" s="36" t="inlineStr">
        <is>
          <t>☑</t>
        </is>
      </c>
      <c r="M74" s="36" t="inlineStr">
        <is>
          <t>個別</t>
        </is>
      </c>
      <c r="N74" s="36" t="inlineStr">
        <is>
          <t>【担当者名】</t>
        </is>
      </c>
      <c r="O74" s="33" t="n">
        <v>45189</v>
      </c>
      <c r="P74" s="38" t="inlineStr">
        <is>
          <t>いずれかの個別処理の要求要件定義書の同一要件idを参照。(【個別処理名】DB案件の確認を推奨。)</t>
        </is>
      </c>
      <c r="Q74" s="22" t="n"/>
    </row>
    <row r="75" ht="79.15000000000001" customHeight="1" s="124">
      <c r="D75" s="32" t="n">
        <v>1</v>
      </c>
      <c r="E75" s="30" t="n">
        <v>5</v>
      </c>
      <c r="F75" s="32">
        <f>テーブル5[[#This Row],[系統No]]&amp;"-"&amp;テーブル5[[#This Row],[枝番No]]</f>
        <v/>
      </c>
      <c r="G75" s="32" t="inlineStr">
        <is>
          <t>構成系</t>
        </is>
      </c>
      <c r="H75" s="32" t="inlineStr">
        <is>
          <t>出力データ(なに)</t>
        </is>
      </c>
      <c r="I75" s="32" t="inlineStr">
        <is>
          <t>・複数の入力ファイルを1つの中間ファイルへまとめて出力できること。
・既存ストリームの中間出力までのフローを踏襲すること。</t>
        </is>
      </c>
      <c r="J75" s="32" t="inlineStr">
        <is>
          <t>SPSSにファイルを都度インプットしたくない。</t>
        </is>
      </c>
      <c r="K75" s="26" t="inlineStr">
        <is>
          <t>・渡されたPythonのメソッドの処理結果データフレームをcsvファイルで出力すること。
・一つのメソッドに閉じてcsvファイル出力が実行すること。</t>
        </is>
      </c>
      <c r="L75" s="36" t="inlineStr">
        <is>
          <t>☑</t>
        </is>
      </c>
      <c r="M75" s="36" t="inlineStr">
        <is>
          <t>共通</t>
        </is>
      </c>
      <c r="N75" s="36" t="inlineStr">
        <is>
          <t>【担当者名】</t>
        </is>
      </c>
      <c r="O75" s="33" t="n">
        <v>45189</v>
      </c>
      <c r="P75" s="38" t="inlineStr">
        <is>
          <t>定期チェック_ソースコード</t>
        </is>
      </c>
      <c r="Q75" s="22" t="n"/>
    </row>
    <row r="76" ht="59.45" customHeight="1" s="124">
      <c r="D76" s="32" t="n">
        <v>1</v>
      </c>
      <c r="E76" s="30" t="n">
        <v>6</v>
      </c>
      <c r="F76" s="32">
        <f>テーブル5[[#This Row],[系統No]]&amp;"-"&amp;テーブル5[[#This Row],[枝番No]]</f>
        <v/>
      </c>
      <c r="G76" s="32" t="inlineStr">
        <is>
          <t>構成系</t>
        </is>
      </c>
      <c r="H76" s="32" t="inlineStr">
        <is>
          <t>元処理(どのように)</t>
        </is>
      </c>
      <c r="I76" s="32" t="inlineStr">
        <is>
          <t>・元のストリームの中間出力と同一のデータをcsvファイル/Excelファイルで出力すること。</t>
        </is>
      </c>
      <c r="J76" s="32" t="inlineStr">
        <is>
          <t>既存のSPSSの処理フローに対して、本サービスからの出力ファイルを受け取れるようにする程度の軽微な改修に留めるため。
※SPSSではparquetファイルからのデータ読み込みは不可能。</t>
        </is>
      </c>
      <c r="K76" s="26" t="inlineStr">
        <is>
          <t>・spssをpythonからキックすること。
・一つのメソッドに閉じてキックが実行すること。</t>
        </is>
      </c>
      <c r="L76" s="36" t="inlineStr">
        <is>
          <t>☑</t>
        </is>
      </c>
      <c r="M76" s="36" t="inlineStr">
        <is>
          <t>共通</t>
        </is>
      </c>
      <c r="N76" s="36" t="inlineStr">
        <is>
          <t>【担当者名】</t>
        </is>
      </c>
      <c r="O76" s="33" t="n">
        <v>45189</v>
      </c>
      <c r="P76" s="38" t="inlineStr">
        <is>
          <t>定期チェック_ソースコード</t>
        </is>
      </c>
      <c r="Q76" s="22" t="n"/>
    </row>
    <row r="77" ht="178.15" customHeight="1" s="124">
      <c r="D77" s="32" t="n">
        <v>1</v>
      </c>
      <c r="E77" s="30" t="n">
        <v>7</v>
      </c>
      <c r="F77" s="32">
        <f>テーブル5[[#This Row],[系統No]]&amp;"-"&amp;テーブル5[[#This Row],[枝番No]]</f>
        <v/>
      </c>
      <c r="G77" s="32" t="inlineStr">
        <is>
          <t>構成系</t>
        </is>
      </c>
      <c r="H77" s="32" t="inlineStr">
        <is>
          <t>処理言語(どのように)</t>
        </is>
      </c>
      <c r="I77" s="32" t="inlineStr">
        <is>
          <t>・構築/保守を円滑に行えるようメンテナーの学習コストを最小化する言語/プラットフォームとしたい。</t>
        </is>
      </c>
      <c r="J77" s="32" t="inlineStr">
        <is>
          <t>【PJ/システム名】の保守メンバーの使えるサーバーサイド言語/ソフトウェアについて、以下を保有しているメンバーが在籍していると認識している。
・SPSS
・Python
その他のサーバーサイド言語（batやshellやC#など)で保守できる方がかなり少ない。
そのため、今後の人員の入れ替えなども見据え、できるだけデータ戦略課内でポピュラーかつ、世界的にメジャーで、メンテナーが多い言語/ソフトウェアで本自動化サービスを構築する必要がある。</t>
        </is>
      </c>
      <c r="K77" s="26" t="inlineStr">
        <is>
          <t xml:space="preserve">・Pythonで主に構築されていること。
・【サービス名】クラスのみを持つファイルと、個別処理クラスを持つファイルに分離し、個別処理クラスが【サービス名】クラスを継承して構成されること。
※その他言語を呼び出すようにしてもかまわない。
</t>
        </is>
      </c>
      <c r="L77" s="36" t="inlineStr">
        <is>
          <t>☑</t>
        </is>
      </c>
      <c r="M77" s="36" t="inlineStr">
        <is>
          <t>個別</t>
        </is>
      </c>
      <c r="N77" s="36" t="inlineStr">
        <is>
          <t>【担当者名】</t>
        </is>
      </c>
      <c r="O77" s="33" t="n">
        <v>45189</v>
      </c>
      <c r="P77" s="38" t="inlineStr">
        <is>
          <t>いずれかの個別処理の要求要件定義書の同一要件idを参照。(【個別処理名】DB案件の確認を推奨。)</t>
        </is>
      </c>
      <c r="Q77" s="22" t="n"/>
    </row>
    <row r="78" ht="198" customHeight="1" s="124">
      <c r="D78" s="32" t="n">
        <v>1</v>
      </c>
      <c r="E78" s="30" t="n">
        <v>8</v>
      </c>
      <c r="F78" s="32">
        <f>テーブル5[[#This Row],[系統No]]&amp;"-"&amp;テーブル5[[#This Row],[枝番No]]</f>
        <v/>
      </c>
      <c r="G78" s="32" t="inlineStr">
        <is>
          <t>構成系</t>
        </is>
      </c>
      <c r="H78" s="32" t="inlineStr">
        <is>
          <t>モード切替機能</t>
        </is>
      </c>
      <c r="I78" s="29" t="inlineStr">
        <is>
          <t>以下の本番/検証について、同一のスクリプト内でそれぞれ切り替えと実行ができるようにしたい。
・パラメータ(本番/検証)
・実行ロジック(本番/検証)</t>
        </is>
      </c>
      <c r="J78" s="32" t="inlineStr">
        <is>
          <t>【個別処理名】Master生成日次バッチ処理の実行処理にて、
【サービス名】の機能追加に伴うテストを実行していたが、そのテスト終了後、本番運用で動作すべきコードへ戻しておらず、7日間ほど、データが未更新となってしまう事象があった。
根本原因としては、コードの実行ロジックを本番環境/検証環境に分けていなかったことがあげられる。
運用的な実現方法として検証環境へ本番環境のコードコピー⇒検証環境で回収⇒本番へ書き戻しのフローが挙げられるが、どちらが最新のコードかの管理が煩雑になる欠点がある。そのため、今回は、同一コードに「デバッグフラグ」と呼ばれる</t>
        </is>
      </c>
      <c r="K78" s="32" t="inlineStr">
        <is>
          <t>デバッグフラグの切り替えにより、以下の本番/検証を切り替えられること。
・パラメータ(本番/検証)
・実行ロジック(本番/検証)
デバッグフラグ変数…DEBUG
　・0:本番モード
　・1:検証モード
　・2:デバッグモード</t>
        </is>
      </c>
      <c r="L78" s="36" t="inlineStr">
        <is>
          <t>☑</t>
        </is>
      </c>
      <c r="M78" s="36" t="inlineStr">
        <is>
          <t>個別</t>
        </is>
      </c>
      <c r="N78" s="36" t="inlineStr">
        <is>
          <t>【担当者名】</t>
        </is>
      </c>
      <c r="O78" s="33" t="n">
        <v>45189</v>
      </c>
      <c r="P78" s="38" t="inlineStr">
        <is>
          <t>いずれかの個別処理の要求要件定義書の同一要件idを参照。(【個別処理名】DB案件の確認を推奨。)</t>
        </is>
      </c>
      <c r="Q78" s="22" t="n"/>
    </row>
    <row r="79" ht="99" customHeight="1" s="124">
      <c r="D79" s="32" t="n">
        <v>2</v>
      </c>
      <c r="E79" s="30" t="n">
        <v>1</v>
      </c>
      <c r="F79" s="32">
        <f>テーブル5[[#This Row],[系統No]]&amp;"-"&amp;テーブル5[[#This Row],[枝番No]]</f>
        <v/>
      </c>
      <c r="G79" s="32" t="inlineStr">
        <is>
          <t>運用保守系</t>
        </is>
      </c>
      <c r="H79" s="32" t="inlineStr">
        <is>
          <t>ログ保存トリガー・分類(いつ・なに)</t>
        </is>
      </c>
      <c r="I79" s="32" t="inlineStr">
        <is>
          <t>・頻度：バッチ異常停止時にどこで止まったかを検知したい。
・オブジェクト：プログラムの正常終了/異常終了を記録から判定できるようにしたい。</t>
        </is>
      </c>
      <c r="J79" s="32" t="inlineStr">
        <is>
          <t>現状【PJ/システム名】内の状態監視は、人力で状態監視をしている。その状態監視の属人化を解消するため。</t>
        </is>
      </c>
      <c r="K79" s="34" t="inlineStr">
        <is>
          <t xml:space="preserve">・pythonスクリプトの実行前後でログを出力すること。
・主要なメソッドの実行後にログを出力すること。
　　※必要であれば主要な処理のタイミングで記録してよい。
</t>
        </is>
      </c>
      <c r="L79" s="36" t="inlineStr">
        <is>
          <t>☑</t>
        </is>
      </c>
      <c r="M79" s="37" t="inlineStr">
        <is>
          <t>共通</t>
        </is>
      </c>
      <c r="N79" s="32" t="inlineStr">
        <is>
          <t>【担当者名】</t>
        </is>
      </c>
      <c r="O79" s="33" t="n">
        <v>45189</v>
      </c>
      <c r="P79" s="33" t="inlineStr">
        <is>
          <t>定期チェック_ソースコード</t>
        </is>
      </c>
      <c r="Q79" s="22" t="n"/>
    </row>
    <row r="80" ht="39.6" customHeight="1" s="124">
      <c r="D80" s="32" t="n">
        <v>2</v>
      </c>
      <c r="E80" s="30" t="n">
        <v>2</v>
      </c>
      <c r="F80" s="32">
        <f>テーブル5[[#This Row],[系統No]]&amp;"-"&amp;テーブル5[[#This Row],[枝番No]]</f>
        <v/>
      </c>
      <c r="G80" s="32" t="inlineStr">
        <is>
          <t>運用保守系</t>
        </is>
      </c>
      <c r="H80" s="32" t="inlineStr">
        <is>
          <t>ログ保存元先(だれからだれ)</t>
        </is>
      </c>
      <c r="I80" s="32" t="inlineStr">
        <is>
          <t>・【サーバー/端末名】上でデバッグできるようにしたい。
・テキストエディタ（VSCode）で開けるようにしたい。</t>
        </is>
      </c>
      <c r="J80" s="32" t="inlineStr">
        <is>
          <t>保守担当者の保守のデバッグの負担を減らすため。</t>
        </is>
      </c>
      <c r="K80" s="32" t="inlineStr">
        <is>
          <t>・Pythonログ(batログ),SPSSログ,パフォーマンスログ⇒互いに同じフォルダ配下へ保存されること。</t>
        </is>
      </c>
      <c r="L80" s="36" t="inlineStr">
        <is>
          <t>☑</t>
        </is>
      </c>
      <c r="M80" s="36" t="inlineStr">
        <is>
          <t>共通</t>
        </is>
      </c>
      <c r="N80" s="32" t="inlineStr">
        <is>
          <t>【担当者名】</t>
        </is>
      </c>
      <c r="O80" s="33" t="n">
        <v>45189</v>
      </c>
      <c r="P80" s="33" t="inlineStr">
        <is>
          <t>定期チェック_ソースコード</t>
        </is>
      </c>
      <c r="Q80" s="22" t="n"/>
    </row>
    <row r="81" ht="39.6" customHeight="1" s="124">
      <c r="D81" s="32" t="n">
        <v>2</v>
      </c>
      <c r="E81" s="30" t="n">
        <v>3</v>
      </c>
      <c r="F81" s="32">
        <f>テーブル5[[#This Row],[系統No]]&amp;"-"&amp;テーブル5[[#This Row],[枝番No]]</f>
        <v/>
      </c>
      <c r="G81" s="32" t="inlineStr">
        <is>
          <t>運用保守系</t>
        </is>
      </c>
      <c r="H81" s="32" t="inlineStr">
        <is>
          <t>ログ保存処理言語(どのように)</t>
        </is>
      </c>
      <c r="I81" s="32" t="inlineStr">
        <is>
          <t>・構築/保守しやすい言語としたい。</t>
        </is>
      </c>
      <c r="J81" s="32" t="inlineStr">
        <is>
          <t>ロガーのフォーマットがライブラリにより整備されているため。</t>
        </is>
      </c>
      <c r="K81" s="32" t="inlineStr">
        <is>
          <t>・Pythonで書くこと。
・ロガーを定義していること。</t>
        </is>
      </c>
      <c r="L81" s="36" t="inlineStr">
        <is>
          <t>☑</t>
        </is>
      </c>
      <c r="M81" s="36" t="inlineStr">
        <is>
          <t>共通</t>
        </is>
      </c>
      <c r="N81" s="32" t="inlineStr">
        <is>
          <t>【担当者名】</t>
        </is>
      </c>
      <c r="O81" s="33" t="n">
        <v>45189</v>
      </c>
      <c r="P81" s="33" t="inlineStr">
        <is>
          <t>定期チェック_ソースコード</t>
        </is>
      </c>
      <c r="Q81" s="22" t="n"/>
    </row>
    <row r="82" ht="158.45" customHeight="1" s="124">
      <c r="C82" s="32" t="n"/>
      <c r="D82" s="32" t="n">
        <v>2</v>
      </c>
      <c r="E82" s="32" t="n">
        <v>4</v>
      </c>
      <c r="F82" s="32">
        <f>テーブル5[[#This Row],[系統No]]&amp;"-"&amp;テーブル5[[#This Row],[枝番No]]</f>
        <v/>
      </c>
      <c r="G82" s="32" t="inlineStr">
        <is>
          <t>運用保守系</t>
        </is>
      </c>
      <c r="H82" s="32" t="inlineStr">
        <is>
          <t>パフォーマンスログ保存トリガー・分類(いつ・なに)</t>
        </is>
      </c>
      <c r="I82" s="32" t="inlineStr">
        <is>
          <t>・頻度：実行毎に任意のインターバルで取得したい。
・オブジェクト：CPU使用率、メモリ使用量、メモリ使用率をcsvで出力できるようにしたい。</t>
        </is>
      </c>
      <c r="J82" s="32" t="n"/>
      <c r="K82" s="32" t="inlineStr">
        <is>
          <t>・メインプロセスとは別のプロセスとし手動作すること。
・CPU使用率、メモリ使用量、メモリ使用率をcsvで出力すること。
・以下を【組織/業務領域名】Viewのファイルから確認できること。
　・CPU使用率　中央値
　・メモリ使用率　最大
　・処理時間</t>
        </is>
      </c>
      <c r="L82" s="36" t="inlineStr">
        <is>
          <t>☑</t>
        </is>
      </c>
      <c r="M82" s="36" t="inlineStr">
        <is>
          <t>共通</t>
        </is>
      </c>
      <c r="N82" s="32" t="inlineStr">
        <is>
          <t>【担当者名】</t>
        </is>
      </c>
      <c r="O82" s="33" t="n"/>
      <c r="P82" s="33" t="n"/>
    </row>
    <row r="83" ht="158.45" customHeight="1" s="124">
      <c r="D83" s="32" t="n">
        <v>3</v>
      </c>
      <c r="E83" s="30" t="n">
        <v>1</v>
      </c>
      <c r="F83" s="32">
        <f>テーブル5[[#This Row],[系統No]]&amp;"-"&amp;テーブル5[[#This Row],[枝番No]]</f>
        <v/>
      </c>
      <c r="G83" s="32" t="inlineStr">
        <is>
          <t>通知系</t>
        </is>
      </c>
      <c r="H83" s="32" t="inlineStr">
        <is>
          <t>イベントトリガー・分類(いつ・なに)</t>
        </is>
      </c>
      <c r="I83" s="32" t="inlineStr">
        <is>
          <t>・頻度：バッチ異常停止時にイベント発報が止まっていることを検知したい。
・オブジェクト：プログラムの正常終了/異常終了を判定できるようにしたい。</t>
        </is>
      </c>
      <c r="J83" s="32" t="inlineStr">
        <is>
          <t>現状【PJ/システム名】内の状態監視は、人力で状態監視をしている。その状態監視の属人化を解消するため。
また、M365製品上に管理を統合していきたい方針があるため。(【担当者名】より)</t>
        </is>
      </c>
      <c r="K83" s="32" t="inlineStr">
        <is>
          <t>以下の時にイベントを発報する
・オブジェクト：
　・正常終了：batが処理完了したとき
　・異常終了：bat内の子プロセスが未完了のまま処理完了したとき
　　・pythonがデータ処理に失敗した場合
　　　・raiseされたとき
　　・SPSSがデータ処理に失敗した場合</t>
        </is>
      </c>
      <c r="L83" s="36" t="inlineStr">
        <is>
          <t>☑</t>
        </is>
      </c>
      <c r="M83" s="36" t="inlineStr">
        <is>
          <t>共通</t>
        </is>
      </c>
      <c r="N83" s="32" t="inlineStr">
        <is>
          <t>【担当者名】</t>
        </is>
      </c>
      <c r="O83" s="33" t="n">
        <v>45189</v>
      </c>
      <c r="P83" s="33" t="inlineStr">
        <is>
          <t>定期チェック_ソースコード</t>
        </is>
      </c>
      <c r="Q83" s="22" t="n"/>
    </row>
    <row r="84" ht="39.6" customHeight="1" s="124">
      <c r="D84" s="32" t="n">
        <v>3</v>
      </c>
      <c r="E84" s="30" t="n">
        <v>2</v>
      </c>
      <c r="F84" s="32">
        <f>テーブル5[[#This Row],[系統No]]&amp;"-"&amp;テーブル5[[#This Row],[枝番No]]</f>
        <v/>
      </c>
      <c r="G84" s="32" t="inlineStr">
        <is>
          <t>通知系</t>
        </is>
      </c>
      <c r="H84" s="32" t="inlineStr">
        <is>
          <t>イベント発報元先(だれからだれ)</t>
        </is>
      </c>
      <c r="I84" s="32" t="inlineStr">
        <is>
          <t>・Teamsチャネルで受信できるようにしたい。</t>
        </is>
      </c>
      <c r="J84" s="32" t="inlineStr">
        <is>
          <t>3-1の経緯を参照。</t>
        </is>
      </c>
      <c r="K84" s="32" t="inlineStr">
        <is>
          <t>curlでTeams.webhookコネクタへイベントを発報するパスとしていること。</t>
        </is>
      </c>
      <c r="L84" s="36" t="inlineStr">
        <is>
          <t>☑</t>
        </is>
      </c>
      <c r="M84" s="36" t="inlineStr">
        <is>
          <t>共通</t>
        </is>
      </c>
      <c r="N84" s="32" t="inlineStr">
        <is>
          <t>【担当者名】</t>
        </is>
      </c>
      <c r="O84" s="33" t="n">
        <v>45189</v>
      </c>
      <c r="P84" s="33" t="inlineStr">
        <is>
          <t>定期チェック_ソースコード</t>
        </is>
      </c>
      <c r="Q84" s="22" t="n"/>
    </row>
    <row r="85" ht="39.6" customHeight="1" s="124">
      <c r="D85" s="32" t="n">
        <v>3</v>
      </c>
      <c r="E85" s="30" t="n">
        <v>3</v>
      </c>
      <c r="F85" s="32">
        <f>テーブル5[[#This Row],[系統No]]&amp;"-"&amp;テーブル5[[#This Row],[枝番No]]</f>
        <v/>
      </c>
      <c r="G85" s="32" t="inlineStr">
        <is>
          <t>通知系</t>
        </is>
      </c>
      <c r="H85" s="32" t="inlineStr">
        <is>
          <t>イベント発報処理言語(どのように)</t>
        </is>
      </c>
      <c r="I85" s="32" t="inlineStr">
        <is>
          <t>・構築/保守しやすい言語としたい。</t>
        </is>
      </c>
      <c r="J85" s="32" t="inlineStr">
        <is>
          <t>他の言語でHTTPのGET要求を書くより、curlで発報をするのがコーディングや保守が楽なため。</t>
        </is>
      </c>
      <c r="K85" s="32" t="inlineStr">
        <is>
          <t>・コマンドラインで書くこと。
・コマンドはPythonのsubprocess()で呼び出すこと。</t>
        </is>
      </c>
      <c r="L85" s="36" t="inlineStr">
        <is>
          <t>☑</t>
        </is>
      </c>
      <c r="M85" s="36" t="inlineStr">
        <is>
          <t>共通</t>
        </is>
      </c>
      <c r="N85" s="32" t="inlineStr">
        <is>
          <t>【担当者名】</t>
        </is>
      </c>
      <c r="O85" s="33" t="n">
        <v>45189</v>
      </c>
      <c r="P85" s="33" t="inlineStr">
        <is>
          <t>定期チェック_ソースコード</t>
        </is>
      </c>
      <c r="Q85" s="22" t="n"/>
    </row>
    <row r="86" ht="158.45" customHeight="1" s="124">
      <c r="D86" s="32" t="n">
        <v>3</v>
      </c>
      <c r="E86" s="30" t="n">
        <v>4</v>
      </c>
      <c r="F86" s="32">
        <f>テーブル5[[#This Row],[系統No]]&amp;"-"&amp;テーブル5[[#This Row],[枝番No]]</f>
        <v/>
      </c>
      <c r="G86" s="32" t="inlineStr">
        <is>
          <t>通知系</t>
        </is>
      </c>
      <c r="H86" s="32" t="inlineStr">
        <is>
          <t>イベントトリガー・分類(いつ・なに)</t>
        </is>
      </c>
      <c r="I86" s="32" t="inlineStr">
        <is>
          <t>・頻度：処理の正常終了後に受信したい
・オブジェクト：正常終了がわかればよい。</t>
        </is>
      </c>
      <c r="J86" s="32" t="inlineStr">
        <is>
          <t>現状【PJ/システム名】内の状態監視は、人力で状態監視をしている。【PJ/システム名】では、メールで通知を受け取れるような仕組みとしているため、
重要な処理通知に関しては、その仕組みを踏襲し、メール受信をしたいため。</t>
        </is>
      </c>
      <c r="K86" s="32" t="inlineStr">
        <is>
          <t>以下の時にイベントを発報する
・オブジェクト：
　・正常終了：batが処理完了したとき
　・異常終了：bat内の子プロセスが未完了のまま処理完了したとき
　　・pythonがデータ処理に失敗した場合
　　　・raiseされたとき
　　・SPSSがデータ処理に失敗した場合</t>
        </is>
      </c>
      <c r="L86" s="36" t="inlineStr">
        <is>
          <t>☑</t>
        </is>
      </c>
      <c r="M86" s="36" t="inlineStr">
        <is>
          <t>共通</t>
        </is>
      </c>
      <c r="N86" s="32" t="inlineStr">
        <is>
          <t>【担当者名】</t>
        </is>
      </c>
      <c r="O86" s="33" t="n">
        <v>45435</v>
      </c>
      <c r="P86" s="33" t="inlineStr">
        <is>
          <t>定期チェック_ソースコード</t>
        </is>
      </c>
      <c r="Q86" s="22" t="n"/>
    </row>
    <row r="87" ht="59.45" customHeight="1" s="124">
      <c r="D87" s="32" t="n">
        <v>3</v>
      </c>
      <c r="E87" s="30" t="n">
        <v>5</v>
      </c>
      <c r="F87" s="32">
        <f>テーブル5[[#This Row],[系統No]]&amp;"-"&amp;テーブル5[[#This Row],[枝番No]]</f>
        <v/>
      </c>
      <c r="G87" s="32" t="inlineStr">
        <is>
          <t>通知系</t>
        </is>
      </c>
      <c r="H87" s="32" t="inlineStr">
        <is>
          <t>イベント発報元先(だれからだれ)</t>
        </is>
      </c>
      <c r="I87" s="32" t="inlineStr">
        <is>
          <t>・メールで受信できるようにしたい。</t>
        </is>
      </c>
      <c r="J87" s="32" t="inlineStr">
        <is>
          <t>3-4の経緯を参照。</t>
        </is>
      </c>
      <c r="K87" s="32" t="inlineStr">
        <is>
          <t>・Outlookエンジンを経由して、メールを発報すること。
・メールソフトで発報されたメールを受信できること。</t>
        </is>
      </c>
      <c r="L87" s="36" t="inlineStr">
        <is>
          <t>☑</t>
        </is>
      </c>
      <c r="M87" s="36" t="inlineStr">
        <is>
          <t>共通</t>
        </is>
      </c>
      <c r="N87" s="32" t="inlineStr">
        <is>
          <t>【担当者名】</t>
        </is>
      </c>
      <c r="O87" s="33" t="n">
        <v>45435</v>
      </c>
      <c r="P87" s="33" t="inlineStr">
        <is>
          <t>エビデンスファイル.メール発報を確認すること。</t>
        </is>
      </c>
      <c r="Q87" s="22" t="n"/>
    </row>
    <row r="88" ht="79.15000000000001" customHeight="1" s="124">
      <c r="D88" s="32" t="n">
        <v>4</v>
      </c>
      <c r="E88" s="30" t="n">
        <v>1</v>
      </c>
      <c r="F88" s="32">
        <f>テーブル5[[#This Row],[系統No]]&amp;"-"&amp;テーブル5[[#This Row],[枝番No]]</f>
        <v/>
      </c>
      <c r="G88" s="32" t="inlineStr">
        <is>
          <t>バックアップ系</t>
        </is>
      </c>
      <c r="H88" s="32" t="inlineStr">
        <is>
          <t>前回CSV保存トリガー・分類(いつ・なに・どこ)</t>
        </is>
      </c>
      <c r="I88" s="32" t="inlineStr">
        <is>
          <t>・不具合時のロールバック(書き戻し)作業の業務負荷・煩雑性の抑制すること。</t>
        </is>
      </c>
      <c r="J88" s="32" t="inlineStr">
        <is>
          <t>障害発生時に書き戻せる前回実行分を今まで保存する運用になっていなかったため。
また、過去のデータの不具合を発見したとき、挙動のバックトレースを数年にまたがってできるようにするため。</t>
        </is>
      </c>
      <c r="K88" s="32" t="inlineStr">
        <is>
          <t>・前回の出力結果を保存し続けること。
データ処理の実行前に、前回の出力ファイルをyyyyMMdd.zipへ圧縮して保存すること。</t>
        </is>
      </c>
      <c r="L88" s="36" t="inlineStr">
        <is>
          <t>☑</t>
        </is>
      </c>
      <c r="M88" s="36" t="inlineStr">
        <is>
          <t>共通</t>
        </is>
      </c>
      <c r="N88" s="32" t="inlineStr">
        <is>
          <t>【担当者名】</t>
        </is>
      </c>
      <c r="O88" s="33" t="n">
        <v>45189</v>
      </c>
      <c r="P88" s="33" t="inlineStr">
        <is>
          <t>定期チェック_ソースコード</t>
        </is>
      </c>
      <c r="Q88" s="22" t="n"/>
    </row>
    <row r="89" ht="79.15000000000001" customHeight="1" s="124">
      <c r="D89" s="32" t="n">
        <v>4</v>
      </c>
      <c r="E89" s="30" t="n">
        <v>2</v>
      </c>
      <c r="F89" s="32">
        <f>テーブル5[[#This Row],[系統No]]&amp;"-"&amp;テーブル5[[#This Row],[枝番No]]</f>
        <v/>
      </c>
      <c r="G89" s="32" t="inlineStr">
        <is>
          <t>バックアップ系</t>
        </is>
      </c>
      <c r="H89" s="32" t="inlineStr">
        <is>
          <t>前日CSV保存元先(だれからだれ)</t>
        </is>
      </c>
      <c r="I89" s="32" t="inlineStr">
        <is>
          <t>・共用フォルダから見えるようにしたい。</t>
        </is>
      </c>
      <c r="J89" s="32" t="inlineStr">
        <is>
          <t xml:space="preserve">関係者が誰でも閲覧できるようにしたいため。
</t>
        </is>
      </c>
      <c r="K89" s="32" t="inlineStr">
        <is>
          <t>共用HDDへ保存するようにする。</t>
        </is>
      </c>
      <c r="L89" s="36" t="inlineStr">
        <is>
          <t>☑</t>
        </is>
      </c>
      <c r="M89" s="36" t="inlineStr">
        <is>
          <t>個別</t>
        </is>
      </c>
      <c r="N89" s="36" t="inlineStr">
        <is>
          <t>【担当者名】</t>
        </is>
      </c>
      <c r="O89" s="33" t="n">
        <v>45189</v>
      </c>
      <c r="P89" s="38" t="inlineStr">
        <is>
          <t>いずれかの個別処理の要求要件定義書の同一要件idを参照。(【個別処理名】DB案件の確認を推奨。)</t>
        </is>
      </c>
      <c r="Q89" s="22" t="n"/>
    </row>
    <row r="90" ht="138.6" customHeight="1" s="124">
      <c r="D90" s="32" t="n">
        <v>4</v>
      </c>
      <c r="E90" s="30" t="n">
        <v>3</v>
      </c>
      <c r="F90" s="32">
        <f>テーブル5[[#This Row],[系統No]]&amp;"-"&amp;テーブル5[[#This Row],[枝番No]]</f>
        <v/>
      </c>
      <c r="G90" s="32" t="inlineStr">
        <is>
          <t>バックアップ系</t>
        </is>
      </c>
      <c r="H90" s="32" t="inlineStr">
        <is>
          <t>前日CSV保存処理言語(どのように)</t>
        </is>
      </c>
      <c r="I90" s="32" t="inlineStr">
        <is>
          <t>・構築/保守しやすい言語であること。</t>
        </is>
      </c>
      <c r="J90" s="32" t="inlineStr">
        <is>
          <t>【日付】：【担当者名】との検討の結果、以下の点で優れているためPythonに回帰させる方針とした。
保守観点：VSCodeでデバッグ可能。
機能観点：あらゆるdosやshellで利用可能な機能がすでに品質の良いモジュールとして、ネットで提供されている。(データ処理(pandas/numpyのdf)/ディレクトリ・ファイル制御(glob/shutil)/プロセス制御(subprocess(Popen()))</t>
        </is>
      </c>
      <c r="K90" s="32" t="inlineStr">
        <is>
          <t>pythonで書くこと。</t>
        </is>
      </c>
      <c r="L90" s="36" t="inlineStr">
        <is>
          <t>☑</t>
        </is>
      </c>
      <c r="M90" s="36" t="inlineStr">
        <is>
          <t>共通</t>
        </is>
      </c>
      <c r="N90" s="36" t="inlineStr">
        <is>
          <t>【担当者名】</t>
        </is>
      </c>
      <c r="O90" s="33" t="n">
        <v>45189</v>
      </c>
      <c r="P90" s="33" t="inlineStr">
        <is>
          <t>定期チェック_ソースコード</t>
        </is>
      </c>
      <c r="Q90" s="22" t="n"/>
    </row>
    <row r="91" ht="28.9" customHeight="1" s="124">
      <c r="C91" s="21" t="inlineStr">
        <is>
          <t>◆年次ログ圧縮　要求・要件</t>
        </is>
      </c>
      <c r="D91" s="32" t="n"/>
      <c r="E91" s="30" t="n"/>
      <c r="F91" s="32" t="n"/>
      <c r="G91" s="32" t="n"/>
      <c r="H91" s="32" t="n"/>
      <c r="I91" s="32" t="n"/>
      <c r="J91" s="32" t="n"/>
      <c r="K91" s="32" t="n"/>
      <c r="L91" s="36" t="n"/>
      <c r="M91" s="36" t="n"/>
      <c r="N91" s="36" t="n"/>
      <c r="O91" s="33" t="n"/>
      <c r="P91" s="33" t="n"/>
      <c r="Q91" s="22" t="n"/>
    </row>
    <row r="92">
      <c r="D92" s="32" t="n"/>
      <c r="E92" s="30" t="n"/>
      <c r="F92" s="32" t="n"/>
      <c r="G92" s="32" t="n"/>
      <c r="H92" s="32" t="n"/>
      <c r="I92" s="32" t="n"/>
      <c r="J92" s="32" t="n"/>
      <c r="K92" s="32" t="n"/>
      <c r="L92" s="36" t="n"/>
      <c r="M92" s="36" t="n"/>
      <c r="N92" s="36" t="n"/>
      <c r="O92" s="33" t="n"/>
      <c r="P92" s="39" t="inlineStr">
        <is>
          <t>エビデンスファイル</t>
        </is>
      </c>
      <c r="Q92" s="22" t="n"/>
    </row>
    <row r="93">
      <c r="D93" s="32" t="n"/>
      <c r="E93" s="30" t="n"/>
      <c r="F93" s="32" t="n"/>
      <c r="G93" s="32" t="n"/>
      <c r="H93" s="32" t="n"/>
      <c r="I93" s="32" t="n"/>
      <c r="J93" s="32" t="n"/>
      <c r="K93" s="32" t="n"/>
      <c r="L93" s="36" t="n"/>
      <c r="M93" s="36" t="n"/>
      <c r="N93" s="36" t="n"/>
      <c r="O93" s="33" t="n"/>
      <c r="P93" s="40" t="inlineStr">
        <is>
          <t>【UNCパス】</t>
        </is>
      </c>
      <c r="Q93" s="22" t="n"/>
    </row>
    <row r="94">
      <c r="D94" s="47" t="inlineStr">
        <is>
          <t>系統No</t>
        </is>
      </c>
      <c r="E94" s="48" t="inlineStr">
        <is>
          <t>枝番No</t>
        </is>
      </c>
      <c r="F94" s="49" t="inlineStr">
        <is>
          <t>要件id</t>
        </is>
      </c>
      <c r="G94" s="48" t="inlineStr">
        <is>
          <t>系統</t>
        </is>
      </c>
      <c r="H94" s="48" t="inlineStr">
        <is>
          <t>要求カテゴリ</t>
        </is>
      </c>
      <c r="I94" s="50" t="inlineStr">
        <is>
          <t>要求</t>
        </is>
      </c>
      <c r="J94" s="50" t="inlineStr">
        <is>
          <t>経緯</t>
        </is>
      </c>
      <c r="K94" s="50" t="inlineStr">
        <is>
          <t>要件</t>
        </is>
      </c>
      <c r="L94" s="51" t="inlineStr">
        <is>
          <t>チェック対象</t>
        </is>
      </c>
      <c r="M94" s="51" t="inlineStr">
        <is>
          <t>必要な確認粒度</t>
        </is>
      </c>
      <c r="N94" s="50" t="inlineStr">
        <is>
          <t>チェック者</t>
        </is>
      </c>
      <c r="O94" s="50" t="inlineStr">
        <is>
          <t>チェック日</t>
        </is>
      </c>
      <c r="P94" s="52" t="inlineStr">
        <is>
          <t>シート/備考</t>
        </is>
      </c>
      <c r="Q94" s="22" t="n"/>
    </row>
    <row r="95" ht="79.15000000000001" customHeight="1" s="124">
      <c r="D95" s="41" t="n">
        <v>4</v>
      </c>
      <c r="E95" s="42" t="n">
        <v>5</v>
      </c>
      <c r="F95" s="43">
        <f>D95&amp;"-"&amp;E95</f>
        <v/>
      </c>
      <c r="G95" s="43" t="inlineStr">
        <is>
          <t>バックアップ系</t>
        </is>
      </c>
      <c r="H95" s="43" t="inlineStr">
        <is>
          <t>前回CSV保存トリガー・分類(いつ・なに・どこ)</t>
        </is>
      </c>
      <c r="I95" s="43" t="inlineStr">
        <is>
          <t>・不具合時のロールバック(書き戻し)作業の業務負荷・煩雑性の抑制すること。</t>
        </is>
      </c>
      <c r="J95" s="43" t="inlineStr">
        <is>
          <t>障害発生時に書き戻せる前回実行分を今まで保存する運用になっていなかったため。
また、過去のデータの不具合を発見したとき、挙動のバックトレースを数年にまたがってできるようにするため。</t>
        </is>
      </c>
      <c r="K95" s="43" t="inlineStr">
        <is>
          <t>年に一度、yyyyMMdd.zipのファイル群をyyyy.zipで圧縮して保存できること。</t>
        </is>
      </c>
      <c r="L95" s="44" t="inlineStr">
        <is>
          <t>☑</t>
        </is>
      </c>
      <c r="M95" s="44" t="inlineStr">
        <is>
          <t>共通</t>
        </is>
      </c>
      <c r="N95" s="43" t="inlineStr">
        <is>
          <t>【担当者名】</t>
        </is>
      </c>
      <c r="O95" s="45" t="n">
        <v>45189</v>
      </c>
      <c r="P95" s="46" t="inlineStr">
        <is>
          <t>定期チェック_ソースコード</t>
        </is>
      </c>
      <c r="Q95" s="22" t="n"/>
    </row>
    <row r="96" ht="28.9" customHeight="1" s="124">
      <c r="C96" s="21" t="inlineStr">
        <is>
          <t>◆データ配置構造の要求・要件</t>
        </is>
      </c>
      <c r="D96" s="32" t="n"/>
      <c r="E96" s="30" t="n"/>
      <c r="F96" s="32" t="n"/>
      <c r="G96" s="32" t="n"/>
      <c r="H96" s="32" t="n"/>
      <c r="I96" s="32" t="n"/>
      <c r="J96" s="32" t="n"/>
      <c r="K96" s="32" t="n"/>
      <c r="L96" s="36" t="n"/>
      <c r="M96" s="36" t="n"/>
      <c r="N96" s="36" t="n"/>
      <c r="O96" s="33" t="n"/>
      <c r="P96" s="33" t="n"/>
    </row>
    <row r="97" ht="28.9" customHeight="1" s="124">
      <c r="C97" s="21" t="n"/>
      <c r="D97" s="30" t="n"/>
      <c r="E97" s="32" t="n"/>
      <c r="F97" s="32" t="n"/>
      <c r="G97" s="32" t="n"/>
      <c r="H97" s="32" t="n"/>
      <c r="I97" s="32" t="n"/>
      <c r="J97" s="32" t="n"/>
      <c r="K97" s="32" t="n"/>
      <c r="L97" s="32" t="n"/>
      <c r="M97" s="32" t="n"/>
      <c r="N97" s="33" t="n"/>
      <c r="O97" s="33" t="n"/>
    </row>
    <row r="98">
      <c r="C98" s="22" t="inlineStr">
        <is>
          <t>【担当者名】GEの開発用の観点です。↓</t>
        </is>
      </c>
      <c r="K98" s="24" t="n"/>
    </row>
    <row r="99">
      <c r="D99" s="24" t="inlineStr">
        <is>
          <t>入力データ規模から来る要求について</t>
        </is>
      </c>
      <c r="K99" s="24" t="n"/>
    </row>
    <row r="100">
      <c r="D100" s="24" t="inlineStr">
        <is>
          <t>用語説明</t>
        </is>
      </c>
      <c r="J100" s="22" t="n"/>
    </row>
    <row r="101">
      <c r="D101" s="35" t="inlineStr">
        <is>
          <t>・</t>
        </is>
      </c>
      <c r="E101" s="22" t="inlineStr">
        <is>
          <t>データ処理がされるたびに、過去の入力データから来る影響が蓄積されるならば、ステートフルなシステムと言います。</t>
        </is>
      </c>
      <c r="J101" s="22" t="n"/>
    </row>
    <row r="102">
      <c r="D102" s="35" t="inlineStr">
        <is>
          <t>・</t>
        </is>
      </c>
      <c r="E102" s="22" t="inlineStr">
        <is>
          <t>データ処理がされるたびに、過去の入力データから来る影響が蓄積されないならば、ステートレスなシステムと言います。</t>
        </is>
      </c>
    </row>
    <row r="103">
      <c r="E103" s="24" t="inlineStr">
        <is>
          <t>ミドルデータの場合(例：帳票データ)</t>
        </is>
      </c>
    </row>
    <row r="104">
      <c r="E104" s="35" t="inlineStr">
        <is>
          <t>要件：</t>
        </is>
      </c>
      <c r="F104" s="22" t="inlineStr">
        <is>
          <t>中間データ・出力データはステートレス(非蓄積型/全件読み込み更新型)であること。</t>
        </is>
      </c>
    </row>
    <row r="105">
      <c r="E105" s="35" t="n"/>
      <c r="F105" s="22" t="inlineStr">
        <is>
          <t>⇒【PJ/システム名】で自動化サービスを構築していく領域は、帳票やマスタの粒度が多いためこちらを採用する。</t>
        </is>
      </c>
    </row>
    <row r="106">
      <c r="E106" s="24" t="inlineStr">
        <is>
          <t>ビッグデータの場合(目安：オンラインデータ,テレメトリデータ)</t>
        </is>
      </c>
    </row>
    <row r="107">
      <c r="E107" s="24" t="n"/>
      <c r="F107" s="22" t="inlineStr">
        <is>
          <t>Redshift ra3 など、格安のクラスターなど。</t>
        </is>
      </c>
    </row>
    <row r="108"/>
    <row r="109">
      <c r="E109" s="24" t="inlineStr">
        <is>
          <t>新規</t>
        </is>
      </c>
    </row>
    <row r="110">
      <c r="E110" s="24" t="n"/>
      <c r="F110" s="22" t="inlineStr">
        <is>
          <t>if 差分更新(1行レベルでのupdate/delete)が必要がある</t>
        </is>
      </c>
    </row>
    <row r="111">
      <c r="E111" s="24" t="n"/>
      <c r="G111" s="22" t="inlineStr">
        <is>
          <t>→オンライントランザクション処理に対応する必要あり。</t>
        </is>
      </c>
    </row>
    <row r="112">
      <c r="E112" s="24" t="n"/>
      <c r="G112" s="22" t="inlineStr">
        <is>
          <t>大容量メモリ(TBオーダー)でオンラインのテーブルを保持し続けられるシステムが必要。</t>
        </is>
      </c>
    </row>
    <row r="113">
      <c r="E113" s="24" t="n"/>
      <c r="G113" s="22" t="inlineStr">
        <is>
          <t>→EC2+postgres　や、DatabricksやSnowflakeといったHTAP(OLAP＋OLTP)</t>
        </is>
      </c>
    </row>
    <row r="114">
      <c r="E114" s="24" t="n"/>
      <c r="F114" s="22" t="inlineStr">
        <is>
          <t>if 差分更新なし</t>
        </is>
      </c>
    </row>
    <row r="115">
      <c r="E115" s="24" t="n"/>
      <c r="G115" s="22" t="inlineStr">
        <is>
          <t>→バッチ処理だけ。レイクから切り出せるDWHがあればよい。（例:Redshift(RA3g)+S3やDatabricks＋S3、EC2(NW帯域特化型　c6id.metal)+duckdb、その両方)</t>
        </is>
      </c>
    </row>
    <row r="116">
      <c r="E116" s="24" t="n"/>
      <c r="H116" s="54" t="inlineStr">
        <is>
          <t>H2O.ai db-benchmark を更新しました!- ダックDB (duckdb.org)</t>
        </is>
      </c>
    </row>
    <row r="117">
      <c r="E117" s="24" t="n"/>
      <c r="H117" s="55" t="inlineStr">
        <is>
          <t>【日付】 地点で世界最速のRDB</t>
        </is>
      </c>
    </row>
    <row r="118">
      <c r="E118" s="24" t="n"/>
      <c r="F118" s="22" t="inlineStr">
        <is>
          <t>AWS Glueを入れるかどうかは、分析する日によって分析されるレコードに同じ/共通のものが発生するか？による。</t>
        </is>
      </c>
      <c r="H118" s="55" t="n"/>
    </row>
    <row r="119">
      <c r="E119" s="24" t="n"/>
      <c r="G119" s="22" t="inlineStr">
        <is>
          <t>⇒発生するならば、データ源泉側にAWS Glue等ETLツールでデータクレンジングをしておくべき。</t>
        </is>
      </c>
      <c r="H119" s="55" t="n"/>
    </row>
    <row r="120" ht="28.9" customHeight="1" s="124">
      <c r="C120" s="21" t="n"/>
      <c r="F120" s="22" t="inlineStr">
        <is>
          <t>※入力⇒出力までの変換する時間・金額コストが非常に高い場合</t>
        </is>
      </c>
    </row>
    <row r="121" ht="28.9" customHeight="1" s="124">
      <c r="C121" s="21" t="n"/>
      <c r="E121" s="35" t="inlineStr">
        <is>
          <t>要件：</t>
        </is>
      </c>
      <c r="F121" s="22" t="inlineStr">
        <is>
          <t>中間データ出力データはステートフル(差分更新蓄積型)であること。</t>
        </is>
      </c>
    </row>
    <row r="122" ht="28.9" customHeight="1" s="124">
      <c r="C122" s="21" t="n"/>
      <c r="D122" s="24" t="inlineStr">
        <is>
          <t>運用時について</t>
        </is>
      </c>
      <c r="E122" s="35" t="n"/>
      <c r="K122" s="24" t="n"/>
    </row>
    <row r="123" ht="28.9" customHeight="1" s="124">
      <c r="C123" s="21" t="n"/>
      <c r="D123" s="35" t="inlineStr">
        <is>
          <t>要求：</t>
        </is>
      </c>
      <c r="E123" s="22" t="inlineStr">
        <is>
          <t>既存のデータ入力の運用方法を変えたくない。</t>
        </is>
      </c>
      <c r="K123" s="24" t="n"/>
    </row>
    <row r="124" ht="28.9" customHeight="1" s="124">
      <c r="C124" s="21" t="n"/>
      <c r="E124" s="35" t="inlineStr">
        <is>
          <t>要件：</t>
        </is>
      </c>
      <c r="F124" s="22" t="inlineStr">
        <is>
          <t>入力データは時期ごとのファイル分割したまま、取り込めるようにすること。</t>
        </is>
      </c>
      <c r="K124" s="24" t="n"/>
    </row>
    <row r="125" ht="28.9" customHeight="1" s="124">
      <c r="C125" s="21" t="n"/>
      <c r="D125" s="24" t="inlineStr">
        <is>
          <t>不具合発生時について</t>
        </is>
      </c>
      <c r="K125" s="24" t="n"/>
    </row>
    <row r="126" ht="28.9" customHeight="1" s="124">
      <c r="C126" s="21" t="n"/>
      <c r="D126" s="35" t="inlineStr">
        <is>
          <t>要求：</t>
        </is>
      </c>
      <c r="E126" s="31" t="inlineStr">
        <is>
          <t>入力データの修正と自動化サービスの再実行のみで、出力データの修正がされるようにしたい。</t>
        </is>
      </c>
      <c r="K126" s="24" t="n"/>
    </row>
    <row r="127" ht="28.9" customHeight="1" s="124">
      <c r="C127" s="21" t="n"/>
      <c r="D127" s="35" t="n"/>
      <c r="E127" s="35" t="inlineStr">
        <is>
          <t>要件：</t>
        </is>
      </c>
      <c r="F127" s="22" t="inlineStr">
        <is>
          <t>期単位のファイル内の都度データ追記をする現在の運用のまま、データ処理ができること。Python出力(中間データ)、SPSS出力は差分更新蓄積しないステートレスなシステムとして構築すること。</t>
        </is>
      </c>
      <c r="K127" s="24" t="n"/>
    </row>
    <row r="128" ht="28.9" customHeight="1" s="124">
      <c r="C128" s="21" t="n"/>
      <c r="D128" s="35" t="inlineStr">
        <is>
          <t>要求：</t>
        </is>
      </c>
      <c r="E128" s="22" t="inlineStr">
        <is>
          <t>不具合時のロールバック(書き戻し)作業の業務負荷・煩雑性の抑制のため、過去データを含むファイルの配置⇒自動化サービス再実行で復旧できるようにしたい。</t>
        </is>
      </c>
      <c r="K128" s="24" t="n"/>
    </row>
    <row r="129" ht="28.9" customHeight="1" s="124">
      <c r="C129" s="21" t="n"/>
      <c r="E129" s="35" t="inlineStr">
        <is>
          <t>要件：</t>
        </is>
      </c>
      <c r="F129" s="22" t="inlineStr">
        <is>
          <t>入力データ、Python出力データ、SPSS出力データを蓄積/バックアップしていること。</t>
        </is>
      </c>
      <c r="K129" s="24" t="n"/>
    </row>
    <row r="130" ht="28.9" customHeight="1" s="124">
      <c r="C130" s="21" t="n"/>
      <c r="D130" s="35" t="inlineStr">
        <is>
          <t>要求：</t>
        </is>
      </c>
      <c r="E130" s="31" t="inlineStr">
        <is>
          <t>不具合発生時に素早く原因となった異常データを簡単に即時特定できるようにしたい。</t>
        </is>
      </c>
      <c r="K130" s="24" t="n"/>
    </row>
    <row r="131" ht="28.9" customHeight="1" s="124">
      <c r="C131" s="21" t="n"/>
      <c r="E131" s="35" t="inlineStr">
        <is>
          <t>要件：</t>
        </is>
      </c>
      <c r="F131" s="22" t="inlineStr">
        <is>
          <t>入力ファイルが時間情報を含んでいる場合、出力データから入力ファイルの時期を特定できること。</t>
        </is>
      </c>
      <c r="K131" s="24" t="n"/>
    </row>
    <row r="132">
      <c r="D132" s="35" t="inlineStr">
        <is>
          <t>要求：</t>
        </is>
      </c>
      <c r="E132" s="53" t="inlineStr">
        <is>
          <t>異常データの修正/除去箇所を入力データのみに限定し、後続するデータの修正は再実行で自動修正/除去されるようにしたい。</t>
        </is>
      </c>
      <c r="K132" s="24" t="n"/>
    </row>
    <row r="133">
      <c r="E133" s="35" t="inlineStr">
        <is>
          <t>要件：</t>
        </is>
      </c>
      <c r="F133" s="22" t="inlineStr">
        <is>
          <t>入力データから変換されたデータはステートレス(非蓄積型/全件読み込み更新型)であること。</t>
        </is>
      </c>
      <c r="K133" s="24" t="n"/>
    </row>
    <row r="134" ht="28.9" customHeight="1" s="124">
      <c r="C134" s="21" t="n"/>
      <c r="E134" s="35" t="n"/>
      <c r="K134" s="24" t="n"/>
    </row>
    <row r="135"/>
    <row r="136"/>
    <row r="137"/>
    <row r="138"/>
    <row r="139"/>
    <row r="140"/>
    <row r="141"/>
    <row r="142"/>
    <row r="143"/>
    <row r="144"/>
    <row r="145"/>
    <row r="146"/>
    <row r="147"/>
    <row r="148"/>
    <row r="149"/>
    <row r="150"/>
    <row r="151"/>
    <row r="152"/>
    <row r="153"/>
    <row r="154"/>
    <row r="155"/>
    <row r="156"/>
    <row r="157" customFormat="1" s="12">
      <c r="D157" s="22" t="n"/>
      <c r="E157" s="22" t="n"/>
      <c r="F157" s="22" t="n"/>
      <c r="G157" s="22" t="n"/>
      <c r="H157" s="22" t="n"/>
      <c r="I157" s="22" t="n"/>
      <c r="J157" s="25" t="n"/>
      <c r="K157" s="24" t="n"/>
      <c r="L157" s="22" t="n"/>
      <c r="M157" s="22" t="n"/>
      <c r="N157" s="22" t="n"/>
      <c r="O157" s="22" t="n"/>
      <c r="P157" s="22" t="n"/>
    </row>
    <row r="158" ht="26.45" customFormat="1" customHeight="1" s="12">
      <c r="D158" s="22" t="n"/>
      <c r="E158" s="22" t="n"/>
      <c r="F158" s="1" t="n"/>
      <c r="G158" s="22" t="n"/>
      <c r="H158" s="22" t="n"/>
      <c r="I158" s="22" t="n"/>
      <c r="J158" s="25" t="n"/>
      <c r="K158" s="24" t="n"/>
      <c r="L158" s="22" t="n"/>
      <c r="M158" s="22" t="n"/>
      <c r="N158" s="22" t="n"/>
      <c r="O158" s="22" t="n"/>
      <c r="P158" s="22" t="n"/>
    </row>
  </sheetData>
  <mergeCells count="25">
    <mergeCell ref="K16:L16"/>
    <mergeCell ref="H64:M64"/>
    <mergeCell ref="H59:M59"/>
    <mergeCell ref="F27:L27"/>
    <mergeCell ref="H60:M60"/>
    <mergeCell ref="F10:J10"/>
    <mergeCell ref="F16:J16"/>
    <mergeCell ref="H61:M61"/>
    <mergeCell ref="F24:J24"/>
    <mergeCell ref="F29:L29"/>
    <mergeCell ref="L14:M14"/>
    <mergeCell ref="F19:L19"/>
    <mergeCell ref="F17:J17"/>
    <mergeCell ref="H62:M62"/>
    <mergeCell ref="F23:J23"/>
    <mergeCell ref="F30:L30"/>
    <mergeCell ref="F20:L20"/>
    <mergeCell ref="F13:J13"/>
    <mergeCell ref="K17:L17"/>
    <mergeCell ref="F9:J9"/>
    <mergeCell ref="F6:H6"/>
    <mergeCell ref="H63:M63"/>
    <mergeCell ref="F26:L26"/>
    <mergeCell ref="F7:H7"/>
    <mergeCell ref="F14:J14"/>
  </mergeCells>
  <hyperlinks>
    <hyperlink xmlns:r="http://schemas.openxmlformats.org/officeDocument/2006/relationships" ref="G44" display="https://qiita.com/yuuu1654/items/1bbe580da09a56e30e62" r:id="rId1"/>
    <hyperlink xmlns:r="http://schemas.openxmlformats.org/officeDocument/2006/relationships" ref="H116" display="https://duckdb.org/2023/11/03/db-benchmark-update.html" r:id="rId2"/>
  </hyperlinks>
  <pageMargins left="0.7" right="0.7" top="0.75" bottom="0.75" header="0.3" footer="0.3"/>
  <pageSetup orientation="portrait" paperSize="9" horizontalDpi="300" verticalDpi="300"/>
  <tableParts count="1">
    <tablePart xmlns:r="http://schemas.openxmlformats.org/officeDocument/2006/relationships" r:id="rId3"/>
  </tableParts>
</worksheet>
</file>

<file path=docProps/app.xml><?xml version="1.0" encoding="utf-8"?>
<Properties xmlns="http://schemas.openxmlformats.org/officeDocument/2006/extended-properties" xmlns:vt="http://schemas.openxmlformats.org/officeDocument/2006/docPropsVTypes">
  <AppVersion>3.0001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terms:created xsi:type="dcterms:W3CDTF">2026-05-13T07:43:45Z</dcterms:created>
  <dcterms:modified xsi:type="dcterms:W3CDTF">2026-05-13T07:43:45Z</dcterms:modified>
</cp:coreProperties>
</file>